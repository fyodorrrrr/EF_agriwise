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e0b4701b5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885599eae8d407a"/>
    <x:sheet xmlns:r="http://schemas.openxmlformats.org/officeDocument/2006/relationships" name="Base Inputs" sheetId="2" r:id="R941ee44970714e25"/>
    <x:sheet xmlns:r="http://schemas.openxmlformats.org/officeDocument/2006/relationships" name="Commodity Benchmark" sheetId="3" r:id="R0d83a7fc13a149bf"/>
    <x:sheet xmlns:r="http://schemas.openxmlformats.org/officeDocument/2006/relationships" name="Provincial Inputs" sheetId="4" r:id="R3965fb85970d458a"/>
    <x:sheet xmlns:r="http://schemas.openxmlformats.org/officeDocument/2006/relationships" name="Municipal Allocation" sheetId="5" r:id="R379f06c19fe3411a"/>
    <x:sheet xmlns:r="http://schemas.openxmlformats.org/officeDocument/2006/relationships" name="Validation" sheetId="6" r:id="Re565bd8787eb46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00%"/>
    <x:numFmt numFmtId="202" formatCode="0.00"/>
    <x:numFmt numFmtId="203" formatCode="0.000"/>
    <x:numFmt numFmtId="204" formatCode="0.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a4f36e1d94efb" /><Relationship Type="http://schemas.openxmlformats.org/officeDocument/2006/relationships/theme" Target="/xl/theme/theme1.xml" Id="Rbf6fa274b5fc423f" /><Relationship Type="http://schemas.openxmlformats.org/officeDocument/2006/relationships/sharedStrings" Target="/xl/sharedStrings.xml" Id="Rc754c53fd75f4279" /><Relationship Type="http://schemas.openxmlformats.org/officeDocument/2006/relationships/worksheet" Target="/xl/worksheets/sheet1.xml" Id="R7885599eae8d407a" /><Relationship Type="http://schemas.openxmlformats.org/officeDocument/2006/relationships/worksheet" Target="/xl/worksheets/sheet2.xml" Id="R941ee44970714e25" /><Relationship Type="http://schemas.openxmlformats.org/officeDocument/2006/relationships/worksheet" Target="/xl/worksheets/sheet3.xml" Id="R0d83a7fc13a149bf" /><Relationship Type="http://schemas.openxmlformats.org/officeDocument/2006/relationships/worksheet" Target="/xl/worksheets/sheet4.xml" Id="R3965fb85970d458a" /><Relationship Type="http://schemas.openxmlformats.org/officeDocument/2006/relationships/worksheet" Target="/xl/worksheets/sheet5.xml" Id="R379f06c19fe3411a" /><Relationship Type="http://schemas.openxmlformats.org/officeDocument/2006/relationships/worksheet" Target="/xl/worksheets/sheet6.xml" Id="Re565bd8787eb46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5" t="str">
        <x:v>AgriWise — Laguna Municipal Benchmark Layer v1</x:v>
      </x:c>
      <x:c r="B1" s="5" t="str"/>
    </x:row>
    <x:row r="2">
      <x:c r="A2" s="10" t="str">
        <x:v>Purpose</x:v>
      </x:c>
      <x:c r="B2" t="str">
        <x:v>Synthetic municipal disaggregation weights for MVP simulation. Laguna provincial controls remain authoritative.</x:v>
      </x:c>
    </x:row>
    <x:row r="3">
      <x:c r="A3" s="10" t="str">
        <x:v>Demand</x:v>
      </x:c>
      <x:c r="B3" t="str">
        <x:v>population_2024 × (0.90 + 0.10 × urban_share_2020), normalized across 30 LGUs.</x:v>
      </x:c>
    </x:row>
    <x:row r="4">
      <x:c r="A4" s="10" t="str">
        <x:v>Supply</x:v>
      </x:c>
      <x:c r="B4" t="str">
        <x:v>land_area_km2 × (0.25 + 0.75 × rural_share_2020) × synthetic commodity multiplier (0.80–1.20), normalized by commodity.</x:v>
      </x:c>
    </x:row>
    <x:row r="5">
      <x:c r="A5" s="10" t="str">
        <x:v>Opportunity v1</x:v>
      </x:c>
      <x:c r="B5" t="str">
        <x:v>Municipal peer-relative score: 58.33% demand-rank + 41.67% supply-scarcity-rank.</x:v>
      </x:c>
    </x:row>
    <x:row r="6">
      <x:c r="A6" s="10" t="str">
        <x:v>Important</x:v>
      </x:c>
      <x:c r="B6" t="str">
        <x:v>This municipal opportunity score is a NEW MVP method, not the existing province-level API opportunity score.</x:v>
      </x:c>
    </x:row>
    <x:row r="7">
      <x:c r="A7" s="10" t="str">
        <x:v>Demand MT limitation</x:v>
      </x:c>
      <x:c r="B7" t="str">
        <x:v>Only Tomato and Banana have the separate physical-demand MT pipeline in the current handoff.</x:v>
      </x:c>
    </x:row>
    <x:row r="8">
      <x:c r="A8" s="10" t="str">
        <x:v>Join key</x:v>
      </x:c>
      <x:c r="B8" t="str">
        <x:v>Use psgc_code (7-digit) against the existing municipal GeoJSON.</x:v>
      </x:c>
    </x:row>
    <x:row r="9">
      <x:c r="A9" s="10" t="str">
        <x:v>Version</x:v>
      </x:c>
      <x:c r="B9" t="str">
        <x:v>laguna_muni_v1_2026-09-09</x:v>
      </x:c>
    </x:row>
    <x:row r="10">
      <x:c r="A10" s="10" t="str">
        <x:v>Source — PSA PSGC / 2024 POPCEN</x:v>
      </x:c>
      <x:c r="B10" t="str">
        <x:v>https://psa.gov.ph/classification/psgc/citimuni/0403400000</x:v>
      </x:c>
    </x:row>
    <x:row r="11">
      <x:c r="A11" s="10" t="str">
        <x:v>Source — PSA urban population</x:v>
      </x:c>
      <x:c r="B11" t="str">
        <x:v>https://psa.gov.ph/content/urban-population-philippines-2020-census-population-and-housing</x:v>
      </x:c>
    </x:row>
    <x:row r="12">
      <x:c r="A12" s="10" t="str">
        <x:v>Source — land area / town-center coordinates</x:v>
      </x:c>
      <x:c r="B12" t="str">
        <x:v>https://en.wikipedia.org/wiki/Laguna_(province)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3" max="3" width="20" hidden="0" customWidth="1"/>
    <x:col min="1" max="1" width="16" hidden="0" customWidth="1"/>
    <x:col min="2" max="2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5" t="str">
        <x:v>psgc_code</x:v>
      </x:c>
      <x:c r="B1" s="5" t="str">
        <x:v>psgc_code_10</x:v>
      </x:c>
      <x:c r="C1" s="5" t="str">
        <x:v>municipality</x:v>
      </x:c>
      <x:c r="D1" s="5" t="str">
        <x:v>lgu_type</x:v>
      </x:c>
      <x:c r="E1" s="5" t="str">
        <x:v>population_2024</x:v>
      </x:c>
      <x:c r="F1" s="5" t="str">
        <x:v>urban_share_2020</x:v>
      </x:c>
      <x:c r="G1" s="5" t="str">
        <x:v>land_area_km2</x:v>
      </x:c>
      <x:c r="H1" s="5" t="str">
        <x:v>latitude</x:v>
      </x:c>
      <x:c r="I1" s="5" t="str">
        <x:v>longitude</x:v>
      </x:c>
      <x:c r="J1" s="5" t="str">
        <x:v>demand_factor</x:v>
      </x:c>
      <x:c r="K1" s="5" t="str">
        <x:v>demand_raw</x:v>
      </x:c>
      <x:c r="L1" s="5" t="str">
        <x:v>demand_weight</x:v>
      </x:c>
      <x:c r="M1" s="5" t="str">
        <x:v>agri_factor</x:v>
      </x:c>
      <x:c r="N1" s="5" t="str">
        <x:v>agri_capacity_raw</x:v>
      </x:c>
      <x:c r="O1" s="5" t="str">
        <x:v>agri_base_weight</x:v>
      </x:c>
    </x:row>
    <x:row r="2">
      <x:c r="A2" t="str">
        <x:v>0403401</x:v>
      </x:c>
      <x:c r="B2" t="str">
        <x:v>0403401000</x:v>
      </x:c>
      <x:c r="C2" t="str">
        <x:v>Alaminos</x:v>
      </x:c>
      <x:c r="D2" t="str">
        <x:v>Municipality</x:v>
      </x:c>
      <x:c r="E2" t="n">
        <x:v>53589</x:v>
      </x:c>
      <x:c r="F2" s="12" t="n">
        <x:v>0.382</x:v>
      </x:c>
      <x:c r="G2" t="n">
        <x:v>57.46</x:v>
      </x:c>
      <x:c r="H2" t="n">
        <x:v>14.0613</x:v>
      </x:c>
      <x:c r="I2" t="n">
        <x:v>121.2478</x:v>
      </x:c>
      <x:c r="J2" t="n">
        <x:f>0.9+0.1*F2</x:f>
        <x:v>0.9382</x:v>
      </x:c>
      <x:c r="K2" t="n">
        <x:f>E2*J2</x:f>
        <x:v>50277.1998</x:v>
      </x:c>
      <x:c r="L2" s="14" t="n">
        <x:f>K2/SUM($K$2:$K$31)</x:f>
        <x:v>0.013909675391322098</x:v>
      </x:c>
      <x:c r="M2" t="n">
        <x:f>0.25+0.75*(1-F2)</x:f>
        <x:v>0.7135</x:v>
      </x:c>
      <x:c r="N2" t="n">
        <x:f>G2*M2</x:f>
        <x:v>40.997710000000005</x:v>
      </x:c>
      <x:c r="O2" s="14" t="n">
        <x:f>N2/SUM($N$2:$N$31)</x:f>
        <x:v>0.032333355005120634</x:v>
      </x:c>
    </x:row>
    <x:row r="3">
      <x:c r="A3" t="str">
        <x:v>0403402</x:v>
      </x:c>
      <x:c r="B3" t="str">
        <x:v>0403402000</x:v>
      </x:c>
      <x:c r="C3" t="str">
        <x:v>Bay</x:v>
      </x:c>
      <x:c r="D3" t="str">
        <x:v>Municipality</x:v>
      </x:c>
      <x:c r="E3" t="n">
        <x:v>69802</x:v>
      </x:c>
      <x:c r="F3" s="12" t="n">
        <x:v>0.769</x:v>
      </x:c>
      <x:c r="G3" t="n">
        <x:v>42.66</x:v>
      </x:c>
      <x:c r="H3" t="n">
        <x:v>14.18</x:v>
      </x:c>
      <x:c r="I3" t="n">
        <x:v>121.2799</x:v>
      </x:c>
      <x:c r="J3" t="n">
        <x:f>0.9+0.1*F3</x:f>
        <x:v>0.9769</x:v>
      </x:c>
      <x:c r="K3" t="n">
        <x:f>E3*J3</x:f>
        <x:v>68189.5738</x:v>
      </x:c>
      <x:c r="L3" s="14" t="n">
        <x:f>K3/SUM($K$2:$K$31)</x:f>
        <x:v>0.018865307543054575</x:v>
      </x:c>
      <x:c r="M3" t="n">
        <x:f>0.25+0.75*(1-F3)</x:f>
        <x:v>0.42325</x:v>
      </x:c>
      <x:c r="N3" t="n">
        <x:f>G3*M3</x:f>
        <x:v>18.055844999999998</x:v>
      </x:c>
      <x:c r="O3" s="14" t="n">
        <x:f>N3/SUM($N$2:$N$31)</x:f>
        <x:v>0.014239967215301349</x:v>
      </x:c>
    </x:row>
    <x:row r="4">
      <x:c r="A4" t="str">
        <x:v>0403403</x:v>
      </x:c>
      <x:c r="B4" t="str">
        <x:v>0403403000</x:v>
      </x:c>
      <x:c r="C4" t="str">
        <x:v>Biñan</x:v>
      </x:c>
      <x:c r="D4" t="str">
        <x:v>City</x:v>
      </x:c>
      <x:c r="E4" t="n">
        <x:v>584479</x:v>
      </x:c>
      <x:c r="F4" s="12" t="n">
        <x:v>0.98</x:v>
      </x:c>
      <x:c r="G4" t="n">
        <x:v>40.27</x:v>
      </x:c>
      <x:c r="H4" t="n">
        <x:v>14.3373</x:v>
      </x:c>
      <x:c r="I4" t="n">
        <x:v>121.0827</x:v>
      </x:c>
      <x:c r="J4" t="n">
        <x:f>0.9+0.1*F4</x:f>
        <x:v>0.998</x:v>
      </x:c>
      <x:c r="K4" t="n">
        <x:f>E4*J4</x:f>
        <x:v>583310.042</x:v>
      </x:c>
      <x:c r="L4" s="14" t="n">
        <x:f>K4/SUM($K$2:$K$31)</x:f>
        <x:v>0.16137838561006054</x:v>
      </x:c>
      <x:c r="M4" t="n">
        <x:f>0.25+0.75*(1-F4)</x:f>
        <x:v>0.265</x:v>
      </x:c>
      <x:c r="N4" t="n">
        <x:f>G4*M4</x:f>
        <x:v>10.671550000000002</x:v>
      </x:c>
      <x:c r="O4" s="14" t="n">
        <x:f>N4/SUM($N$2:$N$31)</x:f>
        <x:v>0.008416250922427012</x:v>
      </x:c>
    </x:row>
    <x:row r="5">
      <x:c r="A5" t="str">
        <x:v>0403404</x:v>
      </x:c>
      <x:c r="B5" t="str">
        <x:v>0403404000</x:v>
      </x:c>
      <x:c r="C5" t="str">
        <x:v>Cabuyao</x:v>
      </x:c>
      <x:c r="D5" t="str">
        <x:v>City</x:v>
      </x:c>
      <x:c r="E5" t="n">
        <x:v>365202</x:v>
      </x:c>
      <x:c r="F5" s="12" t="n">
        <x:v>1</x:v>
      </x:c>
      <x:c r="G5" t="n">
        <x:v>43.3</x:v>
      </x:c>
      <x:c r="H5" t="n">
        <x:v>14.277</x:v>
      </x:c>
      <x:c r="I5" t="n">
        <x:v>121.1232</x:v>
      </x:c>
      <x:c r="J5" t="n">
        <x:f>0.9+0.1*F5</x:f>
        <x:v>1</x:v>
      </x:c>
      <x:c r="K5" t="n">
        <x:f>E5*J5</x:f>
        <x:v>365202</x:v>
      </x:c>
      <x:c r="L5" s="14" t="n">
        <x:f>K5/SUM($K$2:$K$31)</x:f>
        <x:v>0.10103667850375415</x:v>
      </x:c>
      <x:c r="M5" t="n">
        <x:f>0.25+0.75*(1-F5)</x:f>
        <x:v>0.25</x:v>
      </x:c>
      <x:c r="N5" t="n">
        <x:f>G5*M5</x:f>
        <x:v>10.825</x:v>
      </x:c>
      <x:c r="O5" s="14" t="n">
        <x:f>N5/SUM($N$2:$N$31)</x:f>
        <x:v>0.008537271177595793</x:v>
      </x:c>
    </x:row>
    <x:row r="6">
      <x:c r="A6" t="str">
        <x:v>0403405</x:v>
      </x:c>
      <x:c r="B6" t="str">
        <x:v>0403405000</x:v>
      </x:c>
      <x:c r="C6" t="str">
        <x:v>Calamba</x:v>
      </x:c>
      <x:c r="D6" t="str">
        <x:v>City</x:v>
      </x:c>
      <x:c r="E6" t="n">
        <x:v>575046</x:v>
      </x:c>
      <x:c r="F6" s="12" t="n">
        <x:v>0.932</x:v>
      </x:c>
      <x:c r="G6" t="n">
        <x:v>149.5</x:v>
      </x:c>
      <x:c r="H6" t="n">
        <x:v>14.2106</x:v>
      </x:c>
      <x:c r="I6" t="n">
        <x:v>121.1638</x:v>
      </x:c>
      <x:c r="J6" t="n">
        <x:f>0.9+0.1*F6</x:f>
        <x:v>0.9932000000000001</x:v>
      </x:c>
      <x:c r="K6" t="n">
        <x:f>E6*J6</x:f>
        <x:v>571135.6872</x:v>
      </x:c>
      <x:c r="L6" s="14" t="n">
        <x:f>K6/SUM($K$2:$K$31)</x:f>
        <x:v>0.15801023217191335</x:v>
      </x:c>
      <x:c r="M6" t="n">
        <x:f>0.25+0.75*(1-F6)</x:f>
        <x:v>0.30099999999999993</x:v>
      </x:c>
      <x:c r="N6" t="n">
        <x:f>G6*M6</x:f>
        <x:v>44.99949999999999</x:v>
      </x:c>
      <x:c r="O6" s="14" t="n">
        <x:f>N6/SUM($N$2:$N$31)</x:f>
        <x:v>0.035489416568704094</x:v>
      </x:c>
    </x:row>
    <x:row r="7">
      <x:c r="A7" t="str">
        <x:v>0403406</x:v>
      </x:c>
      <x:c r="B7" t="str">
        <x:v>0403406000</x:v>
      </x:c>
      <x:c r="C7" t="str">
        <x:v>Calauan</x:v>
      </x:c>
      <x:c r="D7" t="str">
        <x:v>Municipality</x:v>
      </x:c>
      <x:c r="E7" t="n">
        <x:v>89670</x:v>
      </x:c>
      <x:c r="F7" s="12" t="n">
        <x:v>0.712</x:v>
      </x:c>
      <x:c r="G7" t="n">
        <x:v>77.85</x:v>
      </x:c>
      <x:c r="H7" t="n">
        <x:v>14.1486</x:v>
      </x:c>
      <x:c r="I7" t="n">
        <x:v>121.3158</x:v>
      </x:c>
      <x:c r="J7" t="n">
        <x:f>0.9+0.1*F7</x:f>
        <x:v>0.9712000000000001</x:v>
      </x:c>
      <x:c r="K7" t="n">
        <x:f>E7*J7</x:f>
        <x:v>87087.504</x:v>
      </x:c>
      <x:c r="L7" s="14" t="n">
        <x:f>K7/SUM($K$2:$K$31)</x:f>
        <x:v>0.024093603384818276</x:v>
      </x:c>
      <x:c r="M7" t="n">
        <x:f>0.25+0.75*(1-F7)</x:f>
        <x:v>0.466</x:v>
      </x:c>
      <x:c r="N7" t="n">
        <x:f>G7*M7</x:f>
        <x:v>36.2781</x:v>
      </x:c>
      <x:c r="O7" s="14" t="n">
        <x:f>N7/SUM($N$2:$N$31)</x:f>
        <x:v>0.02861117575131067</x:v>
      </x:c>
    </x:row>
    <x:row r="8">
      <x:c r="A8" t="str">
        <x:v>0403407</x:v>
      </x:c>
      <x:c r="B8" t="str">
        <x:v>0403407000</x:v>
      </x:c>
      <x:c r="C8" t="str">
        <x:v>Cavinti</x:v>
      </x:c>
      <x:c r="D8" t="str">
        <x:v>Municipality</x:v>
      </x:c>
      <x:c r="E8" t="n">
        <x:v>24740</x:v>
      </x:c>
      <x:c r="F8" s="12" t="n">
        <x:v>0.279</x:v>
      </x:c>
      <x:c r="G8" t="n">
        <x:v>203.58</x:v>
      </x:c>
      <x:c r="H8" t="n">
        <x:v>14.2454</x:v>
      </x:c>
      <x:c r="I8" t="n">
        <x:v>121.5078</x:v>
      </x:c>
      <x:c r="J8" t="n">
        <x:f>0.9+0.1*F8</x:f>
        <x:v>0.9279000000000001</x:v>
      </x:c>
      <x:c r="K8" t="n">
        <x:f>E8*J8</x:f>
        <x:v>22956.246000000003</x:v>
      </x:c>
      <x:c r="L8" s="14" t="n">
        <x:f>K8/SUM($K$2:$K$31)</x:f>
        <x:v>0.00635106830399366</x:v>
      </x:c>
      <x:c r="M8" t="n">
        <x:f>0.25+0.75*(1-F8)</x:f>
        <x:v>0.79075</x:v>
      </x:c>
      <x:c r="N8" t="n">
        <x:f>G8*M8</x:f>
        <x:v>160.980885</x:v>
      </x:c>
      <x:c r="O8" s="14" t="n">
        <x:f>N8/SUM($N$2:$N$31)</x:f>
        <x:v>0.12695958149231992</x:v>
      </x:c>
    </x:row>
    <x:row r="9">
      <x:c r="A9" t="str">
        <x:v>0403408</x:v>
      </x:c>
      <x:c r="B9" t="str">
        <x:v>0403408000</x:v>
      </x:c>
      <x:c r="C9" t="str">
        <x:v>Famy</x:v>
      </x:c>
      <x:c r="D9" t="str">
        <x:v>Municipality</x:v>
      </x:c>
      <x:c r="E9" t="n">
        <x:v>17668</x:v>
      </x:c>
      <x:c r="F9" s="12" t="n">
        <x:v>0.117</x:v>
      </x:c>
      <x:c r="G9" t="n">
        <x:v>53.06</x:v>
      </x:c>
      <x:c r="H9" t="n">
        <x:v>14.4399</x:v>
      </x:c>
      <x:c r="I9" t="n">
        <x:v>121.4471</x:v>
      </x:c>
      <x:c r="J9" t="n">
        <x:f>0.9+0.1*F9</x:f>
        <x:v>0.9117000000000001</x:v>
      </x:c>
      <x:c r="K9" t="n">
        <x:f>E9*J9</x:f>
        <x:v>16107.9156</x:v>
      </x:c>
      <x:c r="L9" s="14" t="n">
        <x:f>K9/SUM($K$2:$K$31)</x:f>
        <x:v>0.00445641121856618</x:v>
      </x:c>
      <x:c r="M9" t="n">
        <x:f>0.25+0.75*(1-F9)</x:f>
        <x:v>0.91225</x:v>
      </x:c>
      <x:c r="N9" t="n">
        <x:f>G9*M9</x:f>
        <x:v>48.403985000000006</x:v>
      </x:c>
      <x:c r="O9" s="14" t="n">
        <x:f>N9/SUM($N$2:$N$31)</x:f>
        <x:v>0.038174406098963436</x:v>
      </x:c>
    </x:row>
    <x:row r="10">
      <x:c r="A10" t="str">
        <x:v>0403409</x:v>
      </x:c>
      <x:c r="B10" t="str">
        <x:v>0403409000</x:v>
      </x:c>
      <x:c r="C10" t="str">
        <x:v>Kalayaan</x:v>
      </x:c>
      <x:c r="D10" t="str">
        <x:v>Municipality</x:v>
      </x:c>
      <x:c r="E10" t="n">
        <x:v>25243</x:v>
      </x:c>
      <x:c r="F10" s="12" t="n">
        <x:v>1</x:v>
      </x:c>
      <x:c r="G10" t="n">
        <x:v>46.6</x:v>
      </x:c>
      <x:c r="H10" t="n">
        <x:v>14.3261</x:v>
      </x:c>
      <x:c r="I10" t="n">
        <x:v>121.4781</x:v>
      </x:c>
      <x:c r="J10" t="n">
        <x:f>0.9+0.1*F10</x:f>
        <x:v>1</x:v>
      </x:c>
      <x:c r="K10" t="n">
        <x:f>E10*J10</x:f>
        <x:v>25243</x:v>
      </x:c>
      <x:c r="L10" s="14" t="n">
        <x:f>K10/SUM($K$2:$K$31)</x:f>
        <x:v>0.006983720996791546</x:v>
      </x:c>
      <x:c r="M10" t="n">
        <x:f>0.25+0.75*(1-F10)</x:f>
        <x:v>0.25</x:v>
      </x:c>
      <x:c r="N10" t="n">
        <x:f>G10*M10</x:f>
        <x:v>11.65</x:v>
      </x:c>
      <x:c r="O10" s="14" t="n">
        <x:f>N10/SUM($N$2:$N$31)</x:f>
        <x:v>0.009187917710761294</x:v>
      </x:c>
    </x:row>
    <x:row r="11">
      <x:c r="A11" t="str">
        <x:v>0403410</x:v>
      </x:c>
      <x:c r="B11" t="str">
        <x:v>0403410000</x:v>
      </x:c>
      <x:c r="C11" t="str">
        <x:v>Liliw</x:v>
      </x:c>
      <x:c r="D11" t="str">
        <x:v>Municipality</x:v>
      </x:c>
      <x:c r="E11" t="n">
        <x:v>39976</x:v>
      </x:c>
      <x:c r="F11" s="12" t="n">
        <x:v>0</x:v>
      </x:c>
      <x:c r="G11" t="n">
        <x:v>39.1</x:v>
      </x:c>
      <x:c r="H11" t="n">
        <x:v>14.1307</x:v>
      </x:c>
      <x:c r="I11" t="n">
        <x:v>121.4365</x:v>
      </x:c>
      <x:c r="J11" t="n">
        <x:f>0.9+0.1*F11</x:f>
        <x:v>0.9</x:v>
      </x:c>
      <x:c r="K11" t="n">
        <x:f>E11*J11</x:f>
        <x:v>35978.4</x:v>
      </x:c>
      <x:c r="L11" s="14" t="n">
        <x:f>K11/SUM($K$2:$K$31)</x:f>
        <x:v>0.009953773620843995</x:v>
      </x:c>
      <x:c r="M11" t="n">
        <x:f>0.25+0.75*(1-F11)</x:f>
        <x:v>1</x:v>
      </x:c>
      <x:c r="N11" t="n">
        <x:f>G11*M11</x:f>
        <x:v>39.1</x:v>
      </x:c>
      <x:c r="O11" s="14" t="n">
        <x:f>N11/SUM($N$2:$N$31)</x:f>
        <x:v>0.030836702359722454</x:v>
      </x:c>
    </x:row>
    <x:row r="12">
      <x:c r="A12" t="str">
        <x:v>0403411</x:v>
      </x:c>
      <x:c r="B12" t="str">
        <x:v>0403411000</x:v>
      </x:c>
      <x:c r="C12" t="str">
        <x:v>Los Baños</x:v>
      </x:c>
      <x:c r="D12" t="str">
        <x:v>Municipality</x:v>
      </x:c>
      <x:c r="E12" t="n">
        <x:v>117030</x:v>
      </x:c>
      <x:c r="F12" s="12" t="n">
        <x:v>0.946</x:v>
      </x:c>
      <x:c r="G12" t="n">
        <x:v>54.22</x:v>
      </x:c>
      <x:c r="H12" t="n">
        <x:v>14.1775</x:v>
      </x:c>
      <x:c r="I12" t="n">
        <x:v>121.2214</x:v>
      </x:c>
      <x:c r="J12" t="n">
        <x:f>0.9+0.1*F12</x:f>
        <x:v>0.9946</x:v>
      </x:c>
      <x:c r="K12" t="n">
        <x:f>E12*J12</x:f>
        <x:v>116398.038</x:v>
      </x:c>
      <x:c r="L12" s="14" t="n">
        <x:f>K12/SUM($K$2:$K$31)</x:f>
        <x:v>0.03220264714835559</x:v>
      </x:c>
      <x:c r="M12" t="n">
        <x:f>0.25+0.75*(1-F12)</x:f>
        <x:v>0.29050000000000004</x:v>
      </x:c>
      <x:c r="N12" t="n">
        <x:f>G12*M12</x:f>
        <x:v>15.750910000000001</x:v>
      </x:c>
      <x:c r="O12" s="14" t="n">
        <x:f>N12/SUM($N$2:$N$31)</x:f>
        <x:v>0.012422151497820357</x:v>
      </x:c>
    </x:row>
    <x:row r="13">
      <x:c r="A13" t="str">
        <x:v>0403412</x:v>
      </x:c>
      <x:c r="B13" t="str">
        <x:v>0403412000</x:v>
      </x:c>
      <x:c r="C13" t="str">
        <x:v>Luisiana</x:v>
      </x:c>
      <x:c r="D13" t="str">
        <x:v>Municipality</x:v>
      </x:c>
      <x:c r="E13" t="n">
        <x:v>21824</x:v>
      </x:c>
      <x:c r="F13" s="12" t="n">
        <x:v>0</x:v>
      </x:c>
      <x:c r="G13" t="n">
        <x:v>73.31</x:v>
      </x:c>
      <x:c r="H13" t="n">
        <x:v>14.185</x:v>
      </x:c>
      <x:c r="I13" t="n">
        <x:v>121.5094</x:v>
      </x:c>
      <x:c r="J13" t="n">
        <x:f>0.9+0.1*F13</x:f>
        <x:v>0.9</x:v>
      </x:c>
      <x:c r="K13" t="n">
        <x:f>E13*J13</x:f>
        <x:v>19641.600000000002</x:v>
      </x:c>
      <x:c r="L13" s="14" t="n">
        <x:f>K13/SUM($K$2:$K$31)</x:f>
        <x:v>0.0054340393111191555</x:v>
      </x:c>
      <x:c r="M13" t="n">
        <x:f>0.25+0.75*(1-F13)</x:f>
        <x:v>1</x:v>
      </x:c>
      <x:c r="N13" t="n">
        <x:f>G13*M13</x:f>
        <x:v>73.31</x:v>
      </x:c>
      <x:c r="O13" s="14" t="n">
        <x:f>N13/SUM($N$2:$N$31)</x:f>
        <x:v>0.05781684526831849</x:v>
      </x:c>
    </x:row>
    <x:row r="14">
      <x:c r="A14" t="str">
        <x:v>0403413</x:v>
      </x:c>
      <x:c r="B14" t="str">
        <x:v>0403413000</x:v>
      </x:c>
      <x:c r="C14" t="str">
        <x:v>Lumban</x:v>
      </x:c>
      <x:c r="D14" t="str">
        <x:v>Municipality</x:v>
      </x:c>
      <x:c r="E14" t="n">
        <x:v>32793</x:v>
      </x:c>
      <x:c r="F14" s="12" t="n">
        <x:v>0.197</x:v>
      </x:c>
      <x:c r="G14" t="n">
        <x:v>40.53</x:v>
      </x:c>
      <x:c r="H14" t="n">
        <x:v>14.2976</x:v>
      </x:c>
      <x:c r="I14" t="n">
        <x:v>121.4589</x:v>
      </x:c>
      <x:c r="J14" t="n">
        <x:f>0.9+0.1*F14</x:f>
        <x:v>0.9197000000000001</x:v>
      </x:c>
      <x:c r="K14" t="n">
        <x:f>E14*J14</x:f>
        <x:v>30159.722100000003</x:v>
      </x:c>
      <x:c r="L14" s="14" t="n">
        <x:f>K14/SUM($K$2:$K$31)</x:f>
        <x:v>0.008343979894908213</x:v>
      </x:c>
      <x:c r="M14" t="n">
        <x:f>0.25+0.75*(1-F14)</x:f>
        <x:v>0.85225</x:v>
      </x:c>
      <x:c r="N14" t="n">
        <x:f>G14*M14</x:f>
        <x:v>34.541692499999996</x:v>
      </x:c>
      <x:c r="O14" s="14" t="n">
        <x:f>N14/SUM($N$2:$N$31)</x:f>
        <x:v>0.027241736333083303</x:v>
      </x:c>
    </x:row>
    <x:row r="15">
      <x:c r="A15" t="str">
        <x:v>0403414</x:v>
      </x:c>
      <x:c r="B15" t="str">
        <x:v>0403414000</x:v>
      </x:c>
      <x:c r="C15" t="str">
        <x:v>Mabitac</x:v>
      </x:c>
      <x:c r="D15" t="str">
        <x:v>Municipality</x:v>
      </x:c>
      <x:c r="E15" t="n">
        <x:v>21748</x:v>
      </x:c>
      <x:c r="F15" s="12" t="n">
        <x:v>0</x:v>
      </x:c>
      <x:c r="G15" t="n">
        <x:v>80.76</x:v>
      </x:c>
      <x:c r="H15" t="n">
        <x:v>14.4272</x:v>
      </x:c>
      <x:c r="I15" t="n">
        <x:v>121.4265</x:v>
      </x:c>
      <x:c r="J15" t="n">
        <x:f>0.9+0.1*F15</x:f>
        <x:v>0.9</x:v>
      </x:c>
      <x:c r="K15" t="n">
        <x:f>E15*J15</x:f>
        <x:v>19573.2</x:v>
      </x:c>
      <x:c r="L15" s="14" t="n">
        <x:f>K15/SUM($K$2:$K$31)</x:f>
        <x:v>0.005415115787125155</x:v>
      </x:c>
      <x:c r="M15" t="n">
        <x:f>0.25+0.75*(1-F15)</x:f>
        <x:v>1</x:v>
      </x:c>
      <x:c r="N15" t="n">
        <x:f>G15*M15</x:f>
        <x:v>80.76</x:v>
      </x:c>
      <x:c r="O15" s="14" t="n">
        <x:f>N15/SUM($N$2:$N$31)</x:f>
        <x:v>0.06369238062841906</x:v>
      </x:c>
    </x:row>
    <x:row r="16">
      <x:c r="A16" t="str">
        <x:v>0403415</x:v>
      </x:c>
      <x:c r="B16" t="str">
        <x:v>0403415000</x:v>
      </x:c>
      <x:c r="C16" t="str">
        <x:v>Magdalena</x:v>
      </x:c>
      <x:c r="D16" t="str">
        <x:v>Municipality</x:v>
      </x:c>
      <x:c r="E16" t="n">
        <x:v>28131</x:v>
      </x:c>
      <x:c r="F16" s="12" t="n">
        <x:v>0.05</x:v>
      </x:c>
      <x:c r="G16" t="n">
        <x:v>35</x:v>
      </x:c>
      <x:c r="H16" t="n">
        <x:v>14.1996</x:v>
      </x:c>
      <x:c r="I16" t="n">
        <x:v>121.4292</x:v>
      </x:c>
      <x:c r="J16" t="n">
        <x:f>0.9+0.1*F16</x:f>
        <x:v>0.905</x:v>
      </x:c>
      <x:c r="K16" t="n">
        <x:f>E16*J16</x:f>
        <x:v>25458.555</x:v>
      </x:c>
      <x:c r="L16" s="14" t="n">
        <x:f>K16/SUM($K$2:$K$31)</x:f>
        <x:v>0.00704335638004486</x:v>
      </x:c>
      <x:c r="M16" t="n">
        <x:f>0.25+0.75*(1-F16)</x:f>
        <x:v>0.9624999999999999</x:v>
      </x:c>
      <x:c r="N16" t="n">
        <x:f>G16*M16</x:f>
        <x:v>33.6875</x:v>
      </x:c>
      <x:c r="O16" s="14" t="n">
        <x:f>N16/SUM($N$2:$N$31)</x:f>
        <x:v>0.026568066770924555</x:v>
      </x:c>
    </x:row>
    <x:row r="17">
      <x:c r="A17" t="str">
        <x:v>0403416</x:v>
      </x:c>
      <x:c r="B17" t="str">
        <x:v>0403416000</x:v>
      </x:c>
      <x:c r="C17" t="str">
        <x:v>Majayjay</x:v>
      </x:c>
      <x:c r="D17" t="str">
        <x:v>Municipality</x:v>
      </x:c>
      <x:c r="E17" t="n">
        <x:v>28504</x:v>
      </x:c>
      <x:c r="F17" s="12" t="n">
        <x:v>0</x:v>
      </x:c>
      <x:c r="G17" t="n">
        <x:v>69.58</x:v>
      </x:c>
      <x:c r="H17" t="n">
        <x:v>14.1455</x:v>
      </x:c>
      <x:c r="I17" t="n">
        <x:v>121.4725</x:v>
      </x:c>
      <x:c r="J17" t="n">
        <x:f>0.9+0.1*F17</x:f>
        <x:v>0.9</x:v>
      </x:c>
      <x:c r="K17" t="n">
        <x:f>E17*J17</x:f>
        <x:v>25653.600000000002</x:v>
      </x:c>
      <x:c r="L17" s="14" t="n">
        <x:f>K17/SUM($K$2:$K$31)</x:f>
        <x:v>0.00709731747269705</x:v>
      </x:c>
      <x:c r="M17" t="n">
        <x:f>0.25+0.75*(1-F17)</x:f>
        <x:v>1</x:v>
      </x:c>
      <x:c r="N17" t="n">
        <x:f>G17*M17</x:f>
        <x:v>69.58</x:v>
      </x:c>
      <x:c r="O17" s="14" t="n">
        <x:f>N17/SUM($N$2:$N$31)</x:f>
        <x:v>0.05487513427594599</x:v>
      </x:c>
    </x:row>
    <x:row r="18">
      <x:c r="A18" t="str">
        <x:v>0403417</x:v>
      </x:c>
      <x:c r="B18" t="str">
        <x:v>0403417000</x:v>
      </x:c>
      <x:c r="C18" t="str">
        <x:v>Nagcarlan</x:v>
      </x:c>
      <x:c r="D18" t="str">
        <x:v>Municipality</x:v>
      </x:c>
      <x:c r="E18" t="n">
        <x:v>66351</x:v>
      </x:c>
      <x:c r="F18" s="12" t="n">
        <x:v>0.295</x:v>
      </x:c>
      <x:c r="G18" t="n">
        <x:v>78.1</x:v>
      </x:c>
      <x:c r="H18" t="n">
        <x:v>14.1365</x:v>
      </x:c>
      <x:c r="I18" t="n">
        <x:v>121.4127</x:v>
      </x:c>
      <x:c r="J18" t="n">
        <x:f>0.9+0.1*F18</x:f>
        <x:v>0.9295</x:v>
      </x:c>
      <x:c r="K18" t="n">
        <x:f>E18*J18</x:f>
        <x:v>61673.2545</x:v>
      </x:c>
      <x:c r="L18" s="14" t="n">
        <x:f>K18/SUM($K$2:$K$31)</x:f>
        <x:v>0.017062504551444705</x:v>
      </x:c>
      <x:c r="M18" t="n">
        <x:f>0.25+0.75*(1-F18)</x:f>
        <x:v>0.77875</x:v>
      </x:c>
      <x:c r="N18" t="n">
        <x:f>G18*M18</x:f>
        <x:v>60.820375</x:v>
      </x:c>
      <x:c r="O18" s="14" t="n">
        <x:f>N18/SUM($N$2:$N$31)</x:f>
        <x:v>0.047966746835849214</x:v>
      </x:c>
    </x:row>
    <x:row r="19">
      <x:c r="A19" t="str">
        <x:v>0403418</x:v>
      </x:c>
      <x:c r="B19" t="str">
        <x:v>0403418000</x:v>
      </x:c>
      <x:c r="C19" t="str">
        <x:v>Paete</x:v>
      </x:c>
      <x:c r="D19" t="str">
        <x:v>Municipality</x:v>
      </x:c>
      <x:c r="E19" t="n">
        <x:v>25254</x:v>
      </x:c>
      <x:c r="F19" s="12" t="n">
        <x:v>0.511</x:v>
      </x:c>
      <x:c r="G19" t="n">
        <x:v>55.02</x:v>
      </x:c>
      <x:c r="H19" t="n">
        <x:v>14.3641</x:v>
      </x:c>
      <x:c r="I19" t="n">
        <x:v>121.4815</x:v>
      </x:c>
      <x:c r="J19" t="n">
        <x:f>0.9+0.1*F19</x:f>
        <x:v>0.9511000000000001</x:v>
      </x:c>
      <x:c r="K19" t="n">
        <x:f>E19*J19</x:f>
        <x:v>24019.079400000002</x:v>
      </x:c>
      <x:c r="L19" s="14" t="n">
        <x:f>K19/SUM($K$2:$K$31)</x:f>
        <x:v>0.006645111481574428</x:v>
      </x:c>
      <x:c r="M19" t="n">
        <x:f>0.25+0.75*(1-F19)</x:f>
        <x:v>0.61675</x:v>
      </x:c>
      <x:c r="N19" t="n">
        <x:f>G19*M19</x:f>
        <x:v>33.933585</x:v>
      </x:c>
      <x:c r="O19" s="14" t="n">
        <x:f>N19/SUM($N$2:$N$31)</x:f>
        <x:v>0.02676214477348702</x:v>
      </x:c>
    </x:row>
    <x:row r="20">
      <x:c r="A20" t="str">
        <x:v>0403419</x:v>
      </x:c>
      <x:c r="B20" t="str">
        <x:v>0403419000</x:v>
      </x:c>
      <x:c r="C20" t="str">
        <x:v>Pagsanjan</x:v>
      </x:c>
      <x:c r="D20" t="str">
        <x:v>Municipality</x:v>
      </x:c>
      <x:c r="E20" t="n">
        <x:v>45602</x:v>
      </x:c>
      <x:c r="F20" s="12" t="n">
        <x:v>0.534</x:v>
      </x:c>
      <x:c r="G20" t="n">
        <x:v>27.4</x:v>
      </x:c>
      <x:c r="H20" t="n">
        <x:v>14.2727</x:v>
      </x:c>
      <x:c r="I20" t="n">
        <x:v>121.454</x:v>
      </x:c>
      <x:c r="J20" t="n">
        <x:f>0.9+0.1*F20</x:f>
        <x:v>0.9534</x:v>
      </x:c>
      <x:c r="K20" t="n">
        <x:f>E20*J20</x:f>
        <x:v>43476.9468</x:v>
      </x:c>
      <x:c r="L20" s="14" t="n">
        <x:f>K20/SUM($K$2:$K$31)</x:f>
        <x:v>0.012028319385316682</x:v>
      </x:c>
      <x:c r="M20" t="n">
        <x:f>0.25+0.75*(1-F20)</x:f>
        <x:v>0.5994999999999999</x:v>
      </x:c>
      <x:c r="N20" t="n">
        <x:f>G20*M20</x:f>
        <x:v>16.426299999999998</x:v>
      </x:c>
      <x:c r="O20" s="14" t="n">
        <x:f>N20/SUM($N$2:$N$31)</x:f>
        <x:v>0.012954806239680533</x:v>
      </x:c>
    </x:row>
    <x:row r="21">
      <x:c r="A21" t="str">
        <x:v>0403420</x:v>
      </x:c>
      <x:c r="B21" t="str">
        <x:v>0403420000</x:v>
      </x:c>
      <x:c r="C21" t="str">
        <x:v>Pakil</x:v>
      </x:c>
      <x:c r="D21" t="str">
        <x:v>Municipality</x:v>
      </x:c>
      <x:c r="E21" t="n">
        <x:v>23972</x:v>
      </x:c>
      <x:c r="F21" s="12" t="n">
        <x:v>0</x:v>
      </x:c>
      <x:c r="G21" t="n">
        <x:v>46.5</x:v>
      </x:c>
      <x:c r="H21" t="n">
        <x:v>14.3807</x:v>
      </x:c>
      <x:c r="I21" t="n">
        <x:v>121.4786</x:v>
      </x:c>
      <x:c r="J21" t="n">
        <x:f>0.9+0.1*F21</x:f>
        <x:v>0.9</x:v>
      </x:c>
      <x:c r="K21" t="n">
        <x:f>E21*J21</x:f>
        <x:v>21574.8</x:v>
      </x:c>
      <x:c r="L21" s="14" t="n">
        <x:f>K21/SUM($K$2:$K$31)</x:f>
        <x:v>0.005968877857686418</x:v>
      </x:c>
      <x:c r="M21" t="n">
        <x:f>0.25+0.75*(1-F21)</x:f>
        <x:v>1</x:v>
      </x:c>
      <x:c r="N21" t="n">
        <x:f>G21*M21</x:f>
        <x:v>46.5</x:v>
      </x:c>
      <x:c r="O21" s="14" t="n">
        <x:f>N21/SUM($N$2:$N$31)</x:f>
        <x:v>0.03667280459660087</x:v>
      </x:c>
    </x:row>
    <x:row r="22">
      <x:c r="A22" t="str">
        <x:v>0403421</x:v>
      </x:c>
      <x:c r="B22" t="str">
        <x:v>0403421000</x:v>
      </x:c>
      <x:c r="C22" t="str">
        <x:v>Pangil</x:v>
      </x:c>
      <x:c r="D22" t="str">
        <x:v>Municipality</x:v>
      </x:c>
      <x:c r="E22" t="n">
        <x:v>25318</x:v>
      </x:c>
      <x:c r="F22" s="12" t="n">
        <x:v>0.528</x:v>
      </x:c>
      <x:c r="G22" t="n">
        <x:v>45.03</x:v>
      </x:c>
      <x:c r="H22" t="n">
        <x:v>14.4029</x:v>
      </x:c>
      <x:c r="I22" t="n">
        <x:v>121.4677</x:v>
      </x:c>
      <x:c r="J22" t="n">
        <x:f>0.9+0.1*F22</x:f>
        <x:v>0.9528</x:v>
      </x:c>
      <x:c r="K22" t="n">
        <x:f>E22*J22</x:f>
        <x:v>24122.9904</x:v>
      </x:c>
      <x:c r="L22" s="14" t="n">
        <x:f>K22/SUM($K$2:$K$31)</x:f>
        <x:v>0.0066738594684419795</x:v>
      </x:c>
      <x:c r="M22" t="n">
        <x:f>0.25+0.75*(1-F22)</x:f>
        <x:v>0.604</x:v>
      </x:c>
      <x:c r="N22" t="n">
        <x:f>G22*M22</x:f>
        <x:v>27.19812</x:v>
      </x:c>
      <x:c r="O22" s="14" t="n">
        <x:f>N22/SUM($N$2:$N$31)</x:f>
        <x:v>0.02145013634741725</x:v>
      </x:c>
    </x:row>
    <x:row r="23">
      <x:c r="A23" t="str">
        <x:v>0403422</x:v>
      </x:c>
      <x:c r="B23" t="str">
        <x:v>0403422000</x:v>
      </x:c>
      <x:c r="C23" t="str">
        <x:v>Pila</x:v>
      </x:c>
      <x:c r="D23" t="str">
        <x:v>Municipality</x:v>
      </x:c>
      <x:c r="E23" t="n">
        <x:v>57776</x:v>
      </x:c>
      <x:c r="F23" s="12" t="n">
        <x:v>0.484</x:v>
      </x:c>
      <x:c r="G23" t="n">
        <x:v>31.2</x:v>
      </x:c>
      <x:c r="H23" t="n">
        <x:v>14.2374</x:v>
      </x:c>
      <x:c r="I23" t="n">
        <x:v>121.3618</x:v>
      </x:c>
      <x:c r="J23" t="n">
        <x:f>0.9+0.1*F23</x:f>
        <x:v>0.9484</x:v>
      </x:c>
      <x:c r="K23" t="n">
        <x:f>E23*J23</x:f>
        <x:v>54794.7584</x:v>
      </x:c>
      <x:c r="L23" s="14" t="n">
        <x:f>K23/SUM($K$2:$K$31)</x:f>
        <x:v>0.015159501832278252</x:v>
      </x:c>
      <x:c r="M23" t="n">
        <x:f>0.25+0.75*(1-F23)</x:f>
        <x:v>0.637</x:v>
      </x:c>
      <x:c r="N23" t="n">
        <x:f>G23*M23</x:f>
        <x:v>19.8744</x:v>
      </x:c>
      <x:c r="O23" s="14" t="n">
        <x:f>N23/SUM($N$2:$N$31)</x:f>
        <x:v>0.015674193283326546</x:v>
      </x:c>
    </x:row>
    <x:row r="24">
      <x:c r="A24" t="str">
        <x:v>0403423</x:v>
      </x:c>
      <x:c r="B24" t="str">
        <x:v>0403423000</x:v>
      </x:c>
      <x:c r="C24" t="str">
        <x:v>Rizal</x:v>
      </x:c>
      <x:c r="D24" t="str">
        <x:v>Municipality</x:v>
      </x:c>
      <x:c r="E24" t="n">
        <x:v>18864</x:v>
      </x:c>
      <x:c r="F24" s="12" t="n">
        <x:v>0.114</x:v>
      </x:c>
      <x:c r="G24" t="n">
        <x:v>27.9</x:v>
      </x:c>
      <x:c r="H24" t="n">
        <x:v>14.114</x:v>
      </x:c>
      <x:c r="I24" t="n">
        <x:v>121.3933</x:v>
      </x:c>
      <x:c r="J24" t="n">
        <x:f>0.9+0.1*F24</x:f>
        <x:v>0.9114</x:v>
      </x:c>
      <x:c r="K24" t="n">
        <x:f>E24*J24</x:f>
        <x:v>17192.6496</x:v>
      </x:c>
      <x:c r="L24" s="14" t="n">
        <x:f>K24/SUM($K$2:$K$31)</x:f>
        <x:v>0.004756513409737344</x:v>
      </x:c>
      <x:c r="M24" t="n">
        <x:f>0.25+0.75*(1-F24)</x:f>
        <x:v>0.9145</x:v>
      </x:c>
      <x:c r="N24" t="n">
        <x:f>G24*M24</x:f>
        <x:v>25.51455</x:v>
      </x:c>
      <x:c r="O24" s="14" t="n">
        <x:f>N24/SUM($N$2:$N$31)</x:f>
        <x:v>0.020122367882154896</x:v>
      </x:c>
    </x:row>
    <x:row r="25">
      <x:c r="A25" t="str">
        <x:v>0403424</x:v>
      </x:c>
      <x:c r="B25" t="str">
        <x:v>0403424000</x:v>
      </x:c>
      <x:c r="C25" t="str">
        <x:v>San Pablo</x:v>
      </x:c>
      <x:c r="D25" t="str">
        <x:v>City</x:v>
      </x:c>
      <x:c r="E25" t="n">
        <x:v>300166</x:v>
      </x:c>
      <x:c r="F25" s="12" t="n">
        <x:v>0.649</x:v>
      </x:c>
      <x:c r="G25" t="n">
        <x:v>197.56</x:v>
      </x:c>
      <x:c r="H25" t="n">
        <x:v>14.07</x:v>
      </x:c>
      <x:c r="I25" t="n">
        <x:v>121.3255</x:v>
      </x:c>
      <x:c r="J25" t="n">
        <x:f>0.9+0.1*F25</x:f>
        <x:v>0.9649</x:v>
      </x:c>
      <x:c r="K25" t="n">
        <x:f>E25*J25</x:f>
        <x:v>289630.17339999997</x:v>
      </x:c>
      <x:c r="L25" s="14" t="n">
        <x:f>K25/SUM($K$2:$K$31)</x:f>
        <x:v>0.08012899906025259</x:v>
      </x:c>
      <x:c r="M25" t="n">
        <x:f>0.25+0.75*(1-F25)</x:f>
        <x:v>0.51325</x:v>
      </x:c>
      <x:c r="N25" t="n">
        <x:f>G25*M25</x:f>
        <x:v>101.39767</x:v>
      </x:c>
      <x:c r="O25" s="14" t="n">
        <x:f>N25/SUM($N$2:$N$31)</x:f>
        <x:v>0.07996853631098104</x:v>
      </x:c>
    </x:row>
    <x:row r="26">
      <x:c r="A26" t="str">
        <x:v>0403425</x:v>
      </x:c>
      <x:c r="B26" t="str">
        <x:v>0403425000</x:v>
      </x:c>
      <x:c r="C26" t="str">
        <x:v>San Pedro</x:v>
      </x:c>
      <x:c r="D26" t="str">
        <x:v>City</x:v>
      </x:c>
      <x:c r="E26" t="n">
        <x:v>348968</x:v>
      </x:c>
      <x:c r="F26" s="12" t="n">
        <x:v>0.936</x:v>
      </x:c>
      <x:c r="G26" t="n">
        <x:v>24.05</x:v>
      </x:c>
      <x:c r="H26" t="n">
        <x:v>14.362</x:v>
      </x:c>
      <x:c r="I26" t="n">
        <x:v>121.0574</x:v>
      </x:c>
      <x:c r="J26" t="n">
        <x:f>0.9+0.1*F26</x:f>
        <x:v>0.9936</x:v>
      </x:c>
      <x:c r="K26" t="n">
        <x:f>E26*J26</x:f>
        <x:v>346734.60480000003</x:v>
      </x:c>
      <x:c r="L26" s="14" t="n">
        <x:f>K26/SUM($K$2:$K$31)</x:f>
        <x:v>0.09592749434916527</x:v>
      </x:c>
      <x:c r="M26" t="n">
        <x:f>0.25+0.75*(1-F26)</x:f>
        <x:v>0.29799999999999993</x:v>
      </x:c>
      <x:c r="N26" t="n">
        <x:f>G26*M26</x:f>
        <x:v>7.166899999999998</x:v>
      </x:c>
      <x:c r="O26" s="14" t="n">
        <x:f>N26/SUM($N$2:$N$31)</x:f>
        <x:v>0.0056522650164167465</x:v>
      </x:c>
    </x:row>
    <x:row r="27">
      <x:c r="A27" t="str">
        <x:v>0403426</x:v>
      </x:c>
      <x:c r="B27" t="str">
        <x:v>0403426000</x:v>
      </x:c>
      <x:c r="C27" t="str">
        <x:v>Santa Cruz</x:v>
      </x:c>
      <x:c r="D27" t="str">
        <x:v>Municipality</x:v>
      </x:c>
      <x:c r="E27" t="n">
        <x:v>126844</x:v>
      </x:c>
      <x:c r="F27" s="12" t="n">
        <x:v>0.766</x:v>
      </x:c>
      <x:c r="G27" t="n">
        <x:v>38.59</x:v>
      </x:c>
      <x:c r="H27" t="n">
        <x:v>14.2854</x:v>
      </x:c>
      <x:c r="I27" t="n">
        <x:v>121.4134</x:v>
      </x:c>
      <x:c r="J27" t="n">
        <x:f>0.9+0.1*F27</x:f>
        <x:v>0.9766</x:v>
      </x:c>
      <x:c r="K27" t="n">
        <x:f>E27*J27</x:f>
        <x:v>123875.85040000001</x:v>
      </x:c>
      <x:c r="L27" s="14" t="n">
        <x:f>K27/SUM($K$2:$K$31)</x:f>
        <x:v>0.03427145653978879</x:v>
      </x:c>
      <x:c r="M27" t="n">
        <x:f>0.25+0.75*(1-F27)</x:f>
        <x:v>0.4255</x:v>
      </x:c>
      <x:c r="N27" t="n">
        <x:f>G27*M27</x:f>
        <x:v>16.420045000000002</x:v>
      </x:c>
      <x:c r="O27" s="14" t="n">
        <x:f>N27/SUM($N$2:$N$31)</x:f>
        <x:v>0.012949873155965444</x:v>
      </x:c>
    </x:row>
    <x:row r="28">
      <x:c r="A28" t="str">
        <x:v>0403427</x:v>
      </x:c>
      <x:c r="B28" t="str">
        <x:v>0403427000</x:v>
      </x:c>
      <x:c r="C28" t="str">
        <x:v>Santa Maria</x:v>
      </x:c>
      <x:c r="D28" t="str">
        <x:v>Municipality</x:v>
      </x:c>
      <x:c r="E28" t="n">
        <x:v>34102</x:v>
      </x:c>
      <x:c r="F28" s="12" t="n">
        <x:v>0</x:v>
      </x:c>
      <x:c r="G28" t="n">
        <x:v>108.4</x:v>
      </x:c>
      <x:c r="H28" t="n">
        <x:v>14.4721</x:v>
      </x:c>
      <x:c r="I28" t="n">
        <x:v>121.4234</x:v>
      </x:c>
      <x:c r="J28" t="n">
        <x:f>0.9+0.1*F28</x:f>
        <x:v>0.9</x:v>
      </x:c>
      <x:c r="K28" t="n">
        <x:f>E28*J28</x:f>
        <x:v>30691.8</x:v>
      </x:c>
      <x:c r="L28" s="14" t="n">
        <x:f>K28/SUM($K$2:$K$31)</x:f>
        <x:v>0.008491184411097205</x:v>
      </x:c>
      <x:c r="M28" t="n">
        <x:f>0.25+0.75*(1-F28)</x:f>
        <x:v>1</x:v>
      </x:c>
      <x:c r="N28" t="n">
        <x:f>G28*M28</x:f>
        <x:v>108.4</x:v>
      </x:c>
      <x:c r="O28" s="14" t="n">
        <x:f>N28/SUM($N$2:$N$31)</x:f>
        <x:v>0.0854910111456244</x:v>
      </x:c>
    </x:row>
    <x:row r="29">
      <x:c r="A29" t="str">
        <x:v>0403428</x:v>
      </x:c>
      <x:c r="B29" t="str">
        <x:v>0403428000</x:v>
      </x:c>
      <x:c r="C29" t="str">
        <x:v>Santa Rosa</x:v>
      </x:c>
      <x:c r="D29" t="str">
        <x:v>City</x:v>
      </x:c>
      <x:c r="E29" t="n">
        <x:v>430920</x:v>
      </x:c>
      <x:c r="F29" s="12" t="n">
        <x:v>1</x:v>
      </x:c>
      <x:c r="G29" t="n">
        <x:v>54.84</x:v>
      </x:c>
      <x:c r="H29" t="n">
        <x:v>14.3157</x:v>
      </x:c>
      <x:c r="I29" t="n">
        <x:v>121.1122</x:v>
      </x:c>
      <x:c r="J29" t="n">
        <x:f>0.9+0.1*F29</x:f>
        <x:v>1</x:v>
      </x:c>
      <x:c r="K29" t="n">
        <x:f>E29*J29</x:f>
        <x:v>430920</x:v>
      </x:c>
      <x:c r="L29" s="14" t="n">
        <x:f>K29/SUM($K$2:$K$31)</x:f>
        <x:v>0.11921820116219993</x:v>
      </x:c>
      <x:c r="M29" t="n">
        <x:f>0.25+0.75*(1-F29)</x:f>
        <x:v>0.25</x:v>
      </x:c>
      <x:c r="N29" t="n">
        <x:f>G29*M29</x:f>
        <x:v>13.71</x:v>
      </x:c>
      <x:c r="O29" s="14" t="n">
        <x:f>N29/SUM($N$2:$N$31)</x:f>
        <x:v>0.010812562387513935</x:v>
      </x:c>
    </x:row>
    <x:row r="30">
      <x:c r="A30" t="str">
        <x:v>0403429</x:v>
      </x:c>
      <x:c r="B30" t="str">
        <x:v>0403429000</x:v>
      </x:c>
      <x:c r="C30" t="str">
        <x:v>Siniloan</x:v>
      </x:c>
      <x:c r="D30" t="str">
        <x:v>Municipality</x:v>
      </x:c>
      <x:c r="E30" t="n">
        <x:v>42533</x:v>
      </x:c>
      <x:c r="F30" s="12" t="n">
        <x:v>0.283</x:v>
      </x:c>
      <x:c r="G30" t="n">
        <x:v>64.51</x:v>
      </x:c>
      <x:c r="H30" t="n">
        <x:v>14.4215</x:v>
      </x:c>
      <x:c r="I30" t="n">
        <x:v>121.4444</x:v>
      </x:c>
      <x:c r="J30" t="n">
        <x:f>0.9+0.1*F30</x:f>
        <x:v>0.9283</x:v>
      </x:c>
      <x:c r="K30" t="n">
        <x:f>E30*J30</x:f>
        <x:v>39483.3839</x:v>
      </x:c>
      <x:c r="L30" s="14" t="n">
        <x:f>K30/SUM($K$2:$K$31)</x:f>
        <x:v>0.010923461441461446</x:v>
      </x:c>
      <x:c r="M30" t="n">
        <x:f>0.25+0.75*(1-F30)</x:f>
        <x:v>0.7877500000000001</x:v>
      </x:c>
      <x:c r="N30" t="n">
        <x:f>G30*M30</x:f>
        <x:v>50.817752500000005</x:v>
      </x:c>
      <x:c r="O30" s="14" t="n">
        <x:f>N30/SUM($N$2:$N$31)</x:f>
        <x:v>0.040078053924105926</x:v>
      </x:c>
    </x:row>
    <x:row r="31">
      <x:c r="A31" t="str">
        <x:v>0403430</x:v>
      </x:c>
      <x:c r="B31" t="str">
        <x:v>0403430000</x:v>
      </x:c>
      <x:c r="C31" t="str">
        <x:v>Victoria</x:v>
      </x:c>
      <x:c r="D31" t="str">
        <x:v>Municipality</x:v>
      </x:c>
      <x:c r="E31" t="n">
        <x:v>45230</x:v>
      </x:c>
      <x:c r="F31" s="12" t="n">
        <x:v>0.725</x:v>
      </x:c>
      <x:c r="G31" t="n">
        <x:v>22.35</x:v>
      </x:c>
      <x:c r="H31" t="n">
        <x:v>14.2316</x:v>
      </x:c>
      <x:c r="I31" t="n">
        <x:v>121.3278</x:v>
      </x:c>
      <x:c r="J31" t="n">
        <x:f>0.9+0.1*F31</x:f>
        <x:v>0.9725</x:v>
      </x:c>
      <x:c r="K31" t="n">
        <x:f>E31*J31</x:f>
        <x:v>43986.175</x:v>
      </x:c>
      <x:c r="L31" s="14" t="n">
        <x:f>K31/SUM($K$2:$K$31)</x:f>
        <x:v>0.012169202310186878</x:v>
      </x:c>
      <x:c r="M31" t="n">
        <x:f>0.25+0.75*(1-F31)</x:f>
        <x:v>0.45625000000000004</x:v>
      </x:c>
      <x:c r="N31" t="n">
        <x:f>G31*M31</x:f>
        <x:v>10.197187500000002</x:v>
      </x:c>
      <x:c r="O31" s="14" t="n">
        <x:f>N31/SUM($N$2:$N$31)</x:f>
        <x:v>0.008042139024137656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4" max="4" width="20" hidden="0" customWidth="1"/>
    <x:col min="11" max="11" width="28" hidden="0" customWidth="1"/>
    <x:col min="13" max="13" width="26" hidden="0" customWidth="1"/>
    <x:col min="1" max="1" width="18" hidden="0" customWidth="1"/>
    <x:col min="2" max="2" width="18" hidden="0" customWidth="1"/>
    <x:col min="3" max="3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2" max="12" width="18" hidden="0" customWidth="1"/>
  </x:cols>
  <x:sheetData>
    <x:row r="1">
      <x:c r="A1" s="5" t="str">
        <x:v>commodity</x:v>
      </x:c>
      <x:c r="B1" s="5" t="str">
        <x:v>psgc_code</x:v>
      </x:c>
      <x:c r="C1" s="5" t="str">
        <x:v>psgc_code_10</x:v>
      </x:c>
      <x:c r="D1" s="5" t="str">
        <x:v>municipality</x:v>
      </x:c>
      <x:c r="E1" s="5" t="str">
        <x:v>demand_weight</x:v>
      </x:c>
      <x:c r="F1" s="5" t="str">
        <x:v>synthetic_commodity_multiplier</x:v>
      </x:c>
      <x:c r="G1" s="5" t="str">
        <x:v>supply_weight</x:v>
      </x:c>
      <x:c r="H1" s="5" t="str">
        <x:v>demand_rank_score</x:v>
      </x:c>
      <x:c r="I1" s="5" t="str">
        <x:v>supply_scarcity_rank_score</x:v>
      </x:c>
      <x:c r="J1" s="5" t="str">
        <x:v>municipal_opportunity_score_v1</x:v>
      </x:c>
      <x:c r="K1" s="5" t="str">
        <x:v>municipal_opportunity_classification_v1</x:v>
      </x:c>
      <x:c r="L1" s="5" t="str">
        <x:v>demand_supply_share_ratio</x:v>
      </x:c>
      <x:c r="M1" s="5" t="str">
        <x:v>methodology_version</x:v>
      </x:c>
    </x:row>
    <x:row r="2">
      <x:c r="A2" t="str">
        <x:v>Rice</x:v>
      </x:c>
      <x:c r="B2" t="str">
        <x:v>0403401</x:v>
      </x:c>
      <x:c r="C2" t="str">
        <x:v>0403401000</x:v>
      </x:c>
      <x:c r="D2" t="str">
        <x:v>Alaminos</x:v>
      </x:c>
      <x:c r="E2" s="14" t="n">
        <x:v>0.013909675391322093</x:v>
      </x:c>
      <x:c r="F2" t="n">
        <x:v>0.8362</x:v>
      </x:c>
      <x:c r="G2" s="14" t="n">
        <x:v>0.0277459906817334</x:v>
      </x:c>
      <x:c r="H2" s="16" t="n">
        <x:v>58.620689655172406</x:v>
      </x:c>
      <x:c r="I2" s="16" t="n">
        <x:v>48.275862068965516</x:v>
      </x:c>
      <x:c r="J2" s="16" t="n">
        <x:v>54.31034482724137</x:v>
      </x:c>
      <x:c r="K2" t="str">
        <x:v>BALANCED</x:v>
      </x:c>
      <x:c r="L2" s="18" t="n">
        <x:v>0.5013219946217145</x:v>
      </x:c>
      <x:c r="M2" t="str">
        <x:v>laguna_muni_v1_2026-09-09</x:v>
      </x:c>
    </x:row>
    <x:row r="3">
      <x:c r="A3" t="str">
        <x:v>Rice</x:v>
      </x:c>
      <x:c r="B3" t="str">
        <x:v>0403402</x:v>
      </x:c>
      <x:c r="C3" t="str">
        <x:v>0403402000</x:v>
      </x:c>
      <x:c r="D3" t="str">
        <x:v>Bay</x:v>
      </x:c>
      <x:c r="E3" s="14" t="n">
        <x:v>0.018865307543054568</x:v>
      </x:c>
      <x:c r="F3" t="n">
        <x:v>0.8642</x:v>
      </x:c>
      <x:c r="G3" s="14" t="n">
        <x:v>0.012628813613960557</x:v>
      </x:c>
      <x:c r="H3" s="16" t="n">
        <x:v>68.96551724137932</x:v>
      </x:c>
      <x:c r="I3" s="16" t="n">
        <x:v>82.75862068965517</x:v>
      </x:c>
      <x:c r="J3" s="16" t="n">
        <x:v>74.7126436786207</x:v>
      </x:c>
      <x:c r="K3" t="str">
        <x:v>UNDERSUPPLY_LEANING</x:v>
      </x:c>
      <x:c r="L3" s="18" t="n">
        <x:v>1.4938305465368387</x:v>
      </x:c>
      <x:c r="M3" t="str">
        <x:v>laguna_muni_v1_2026-09-09</x:v>
      </x:c>
    </x:row>
    <x:row r="4">
      <x:c r="A4" t="str">
        <x:v>Rice</x:v>
      </x:c>
      <x:c r="B4" t="str">
        <x:v>0403403</x:v>
      </x:c>
      <x:c r="C4" t="str">
        <x:v>0403403000</x:v>
      </x:c>
      <x:c r="D4" t="str">
        <x:v>Biñan</x:v>
      </x:c>
      <x:c r="E4" s="14" t="n">
        <x:v>0.1613783856100605</x:v>
      </x:c>
      <x:c r="F4" t="n">
        <x:v>1.1919</x:v>
      </x:c>
      <x:c r="G4" s="14" t="n">
        <x:v>0.010294323149521636</x:v>
      </x:c>
      <x:c r="H4" s="16" t="n">
        <x:v>100</x:v>
      </x:c>
      <x:c r="I4" s="16" t="n">
        <x:v>89.65517241379311</x:v>
      </x:c>
      <x:c r="J4" s="16" t="n">
        <x:v>95.68965517206897</x:v>
      </x:c>
      <x:c r="K4" t="str">
        <x:v>HIGH_OPPORTUNITY</x:v>
      </x:c>
      <x:c r="L4" s="18" t="n">
        <x:v>15.676444508890276</x:v>
      </x:c>
      <x:c r="M4" t="str">
        <x:v>laguna_muni_v1_2026-09-09</x:v>
      </x:c>
    </x:row>
    <x:row r="5">
      <x:c r="A5" t="str">
        <x:v>Rice</x:v>
      </x:c>
      <x:c r="B5" t="str">
        <x:v>0403404</x:v>
      </x:c>
      <x:c r="C5" t="str">
        <x:v>0403404000</x:v>
      </x:c>
      <x:c r="D5" t="str">
        <x:v>Cabuyao</x:v>
      </x:c>
      <x:c r="E5" s="14" t="n">
        <x:v>0.10103667850375411</x:v>
      </x:c>
      <x:c r="F5" t="n">
        <x:v>1.0171</x:v>
      </x:c>
      <x:c r="G5" s="14" t="n">
        <x:v>0.008910909502997545</x:v>
      </x:c>
      <x:c r="H5" s="16" t="n">
        <x:v>89.65517241379311</x:v>
      </x:c>
      <x:c r="I5" s="16" t="n">
        <x:v>93.10344827586206</x:v>
      </x:c>
      <x:c r="J5" s="16" t="n">
        <x:v>91.09195402310345</x:v>
      </x:c>
      <x:c r="K5" t="str">
        <x:v>HIGH_OPPORTUNITY</x:v>
      </x:c>
      <x:c r="L5" s="18" t="n">
        <x:v>11.33853715715173</x:v>
      </x:c>
      <x:c r="M5" t="str">
        <x:v>laguna_muni_v1_2026-09-09</x:v>
      </x:c>
    </x:row>
    <x:row r="6">
      <x:c r="A6" t="str">
        <x:v>Rice</x:v>
      </x:c>
      <x:c r="B6" t="str">
        <x:v>0403405</x:v>
      </x:c>
      <x:c r="C6" t="str">
        <x:v>0403405000</x:v>
      </x:c>
      <x:c r="D6" t="str">
        <x:v>Calamba</x:v>
      </x:c>
      <x:c r="E6" s="14" t="n">
        <x:v>0.1580102321719133</x:v>
      </x:c>
      <x:c r="F6" t="n">
        <x:v>0.989</x:v>
      </x:c>
      <x:c r="G6" s="14" t="n">
        <x:v>0.03601923241768134</x:v>
      </x:c>
      <x:c r="H6" s="16" t="n">
        <x:v>96.55172413793103</x:v>
      </x:c>
      <x:c r="I6" s="16" t="n">
        <x:v>27.586206896551722</x:v>
      </x:c>
      <x:c r="J6" s="16" t="n">
        <x:v>67.81609195172413</x:v>
      </x:c>
      <x:c r="K6" t="str">
        <x:v>UNDERSUPPLY_LEANING</x:v>
      </x:c>
      <x:c r="L6" s="18" t="n">
        <x:v>4.386829523172967</x:v>
      </x:c>
      <x:c r="M6" t="str">
        <x:v>laguna_muni_v1_2026-09-09</x:v>
      </x:c>
    </x:row>
    <x:row r="7">
      <x:c r="A7" t="str">
        <x:v>Rice</x:v>
      </x:c>
      <x:c r="B7" t="str">
        <x:v>0403406</x:v>
      </x:c>
      <x:c r="C7" t="str">
        <x:v>0403406000</x:v>
      </x:c>
      <x:c r="D7" t="str">
        <x:v>Calauan</x:v>
      </x:c>
      <x:c r="E7" s="14" t="n">
        <x:v>0.024093603384818266</x:v>
      </x:c>
      <x:c r="F7" t="n">
        <x:v>0.9158</x:v>
      </x:c>
      <x:c r="G7" s="14" t="n">
        <x:v>0.02688906162996762</x:v>
      </x:c>
      <x:c r="H7" s="16" t="n">
        <x:v>72.41379310344827</x:v>
      </x:c>
      <x:c r="I7" s="16" t="n">
        <x:v>51.724137931034484</x:v>
      </x:c>
      <x:c r="J7" s="16" t="n">
        <x:v>63.793103447586205</x:v>
      </x:c>
      <x:c r="K7" t="str">
        <x:v>UNDERSUPPLY_LEANING</x:v>
      </x:c>
      <x:c r="L7" s="18" t="n">
        <x:v>0.8960373447158959</x:v>
      </x:c>
      <x:c r="M7" t="str">
        <x:v>laguna_muni_v1_2026-09-09</x:v>
      </x:c>
    </x:row>
    <x:row r="8">
      <x:c r="A8" t="str">
        <x:v>Rice</x:v>
      </x:c>
      <x:c r="B8" t="str">
        <x:v>0403407</x:v>
      </x:c>
      <x:c r="C8" t="str">
        <x:v>0403407000</x:v>
      </x:c>
      <x:c r="D8" t="str">
        <x:v>Cavinti</x:v>
      </x:c>
      <x:c r="E8" s="14" t="n">
        <x:v>0.006351068303993657</x:v>
      </x:c>
      <x:c r="F8" t="n">
        <x:v>1.0819</x:v>
      </x:c>
      <x:c r="G8" s="14" t="n">
        <x:v>0.14095870629504315</x:v>
      </x:c>
      <x:c r="H8" s="16" t="n">
        <x:v>17.24137931034483</x:v>
      </x:c>
      <x:c r="I8" s="16" t="n">
        <x:v>0</x:v>
      </x:c>
      <x:c r="J8" s="16" t="n">
        <x:v>10.057471263793104</x:v>
      </x:c>
      <x:c r="K8" t="str">
        <x:v>SEVERE_OVERSUPPLY</x:v>
      </x:c>
      <x:c r="L8" s="18" t="n">
        <x:v>0.04505623292753641</x:v>
      </x:c>
      <x:c r="M8" t="str">
        <x:v>laguna_muni_v1_2026-09-09</x:v>
      </x:c>
    </x:row>
    <x:row r="9">
      <x:c r="A9" t="str">
        <x:v>Rice</x:v>
      </x:c>
      <x:c r="B9" t="str">
        <x:v>0403408</x:v>
      </x:c>
      <x:c r="C9" t="str">
        <x:v>0403408000</x:v>
      </x:c>
      <x:c r="D9" t="str">
        <x:v>Famy</x:v>
      </x:c>
      <x:c r="E9" s="14" t="n">
        <x:v>0.004456411218566179</x:v>
      </x:c>
      <x:c r="F9" t="n">
        <x:v>0.8952</x:v>
      </x:c>
      <x:c r="G9" s="14" t="n">
        <x:v>0.03506966884600285</x:v>
      </x:c>
      <x:c r="H9" s="16" t="n">
        <x:v>0</x:v>
      </x:c>
      <x:c r="I9" s="16" t="n">
        <x:v>31.03448275862069</x:v>
      </x:c>
      <x:c r="J9" s="16" t="n">
        <x:v>12.931034483793104</x:v>
      </x:c>
      <x:c r="K9" t="str">
        <x:v>SEVERE_OVERSUPPLY</x:v>
      </x:c>
      <x:c r="L9" s="18" t="n">
        <x:v>0.12707309094177857</x:v>
      </x:c>
      <x:c r="M9" t="str">
        <x:v>laguna_muni_v1_2026-09-09</x:v>
      </x:c>
    </x:row>
    <x:row r="10">
      <x:c r="A10" t="str">
        <x:v>Rice</x:v>
      </x:c>
      <x:c r="B10" t="str">
        <x:v>0403409</x:v>
      </x:c>
      <x:c r="C10" t="str">
        <x:v>0403409000</x:v>
      </x:c>
      <x:c r="D10" t="str">
        <x:v>Kalayaan</x:v>
      </x:c>
      <x:c r="E10" s="14" t="n">
        <x:v>0.006983720996791543</x:v>
      </x:c>
      <x:c r="F10" t="n">
        <x:v>1.1385</x:v>
      </x:c>
      <x:c r="G10" s="14" t="n">
        <x:v>0.010734688191350133</x:v>
      </x:c>
      <x:c r="H10" s="16" t="n">
        <x:v>27.586206896551722</x:v>
      </x:c>
      <x:c r="I10" s="16" t="n">
        <x:v>86.20689655172413</x:v>
      </x:c>
      <x:c r="J10" s="16" t="n">
        <x:v>52.01149425482758</x:v>
      </x:c>
      <x:c r="K10" t="str">
        <x:v>BALANCED</x:v>
      </x:c>
      <x:c r="L10" s="18" t="n">
        <x:v>0.6505751142747612</x:v>
      </x:c>
      <x:c r="M10" t="str">
        <x:v>laguna_muni_v1_2026-09-09</x:v>
      </x:c>
    </x:row>
    <x:row r="11">
      <x:c r="A11" t="str">
        <x:v>Rice</x:v>
      </x:c>
      <x:c r="B11" t="str">
        <x:v>0403410</x:v>
      </x:c>
      <x:c r="C11" t="str">
        <x:v>0403410000</x:v>
      </x:c>
      <x:c r="D11" t="str">
        <x:v>Liliw</x:v>
      </x:c>
      <x:c r="E11" s="14" t="n">
        <x:v>0.009953773620843992</x:v>
      </x:c>
      <x:c r="F11" t="n">
        <x:v>1.036</x:v>
      </x:c>
      <x:c r="G11" s="14" t="n">
        <x:v>0.03278438087762753</x:v>
      </x:c>
      <x:c r="H11" s="16" t="n">
        <x:v>44.827586206896555</x:v>
      </x:c>
      <x:c r="I11" s="16" t="n">
        <x:v>37.93103448275862</x:v>
      </x:c>
      <x:c r="J11" s="16" t="n">
        <x:v>41.95402298827587</x:v>
      </x:c>
      <x:c r="K11" t="str">
        <x:v>BALANCED</x:v>
      </x:c>
      <x:c r="L11" s="18" t="n">
        <x:v>0.30361328639994456</x:v>
      </x:c>
      <x:c r="M11" t="str">
        <x:v>laguna_muni_v1_2026-09-09</x:v>
      </x:c>
    </x:row>
    <x:row r="12">
      <x:c r="A12" t="str">
        <x:v>Rice</x:v>
      </x:c>
      <x:c r="B12" t="str">
        <x:v>0403411</x:v>
      </x:c>
      <x:c r="C12" t="str">
        <x:v>0403411000</x:v>
      </x:c>
      <x:c r="D12" t="str">
        <x:v>Los Baños</x:v>
      </x:c>
      <x:c r="E12" s="14" t="n">
        <x:v>0.03220264714835558</x:v>
      </x:c>
      <x:c r="F12" t="n">
        <x:v>1.108</x:v>
      </x:c>
      <x:c r="G12" s="14" t="n">
        <x:v>0.014124591102188954</x:v>
      </x:c>
      <x:c r="H12" s="16" t="n">
        <x:v>75.86206896551724</x:v>
      </x:c>
      <x:c r="I12" s="16" t="n">
        <x:v>68.96551724137932</x:v>
      </x:c>
      <x:c r="J12" s="16" t="n">
        <x:v>72.98850574689655</x:v>
      </x:c>
      <x:c r="K12" t="str">
        <x:v>UNDERSUPPLY_LEANING</x:v>
      </x:c>
      <x:c r="L12" s="18" t="n">
        <x:v>2.2798994261409087</x:v>
      </x:c>
      <x:c r="M12" t="str">
        <x:v>laguna_muni_v1_2026-09-09</x:v>
      </x:c>
    </x:row>
    <x:row r="13">
      <x:c r="A13" t="str">
        <x:v>Rice</x:v>
      </x:c>
      <x:c r="B13" t="str">
        <x:v>0403412</x:v>
      </x:c>
      <x:c r="C13" t="str">
        <x:v>0403412000</x:v>
      </x:c>
      <x:c r="D13" t="str">
        <x:v>Luisiana</x:v>
      </x:c>
      <x:c r="E13" s="14" t="n">
        <x:v>0.005434039311119153</x:v>
      </x:c>
      <x:c r="F13" t="n">
        <x:v>0.9811</x:v>
      </x:c>
      <x:c r="G13" s="14" t="n">
        <x:v>0.05821125586691014</x:v>
      </x:c>
      <x:c r="H13" s="16" t="n">
        <x:v>10.344827586206897</x:v>
      </x:c>
      <x:c r="I13" s="16" t="n">
        <x:v>13.793103448275861</x:v>
      </x:c>
      <x:c r="J13" s="16" t="n">
        <x:v>11.781609195517241</x:v>
      </x:c>
      <x:c r="K13" t="str">
        <x:v>SEVERE_OVERSUPPLY</x:v>
      </x:c>
      <x:c r="L13" s="18" t="n">
        <x:v>0.09335031911256363</x:v>
      </x:c>
      <x:c r="M13" t="str">
        <x:v>laguna_muni_v1_2026-09-09</x:v>
      </x:c>
    </x:row>
    <x:row r="14">
      <x:c r="A14" t="str">
        <x:v>Rice</x:v>
      </x:c>
      <x:c r="B14" t="str">
        <x:v>0403413</x:v>
      </x:c>
      <x:c r="C14" t="str">
        <x:v>0403413000</x:v>
      </x:c>
      <x:c r="D14" t="str">
        <x:v>Lumban</x:v>
      </x:c>
      <x:c r="E14" s="14" t="n">
        <x:v>0.00834397989490821</x:v>
      </x:c>
      <x:c r="F14" t="n">
        <x:v>0.8782</x:v>
      </x:c>
      <x:c r="G14" s="14" t="n">
        <x:v>0.024550905812810508</x:v>
      </x:c>
      <x:c r="H14" s="16" t="n">
        <x:v>37.93103448275862</x:v>
      </x:c>
      <x:c r="I14" s="16" t="n">
        <x:v>55.172413793103445</x:v>
      </x:c>
      <x:c r="J14" s="16" t="n">
        <x:v>45.11494252931034</x:v>
      </x:c>
      <x:c r="K14" t="str">
        <x:v>BALANCED</x:v>
      </x:c>
      <x:c r="L14" s="18" t="n">
        <x:v>0.3398644416025731</x:v>
      </x:c>
      <x:c r="M14" t="str">
        <x:v>laguna_muni_v1_2026-09-09</x:v>
      </x:c>
    </x:row>
    <x:row r="15">
      <x:c r="A15" t="str">
        <x:v>Rice</x:v>
      </x:c>
      <x:c r="B15" t="str">
        <x:v>0403414</x:v>
      </x:c>
      <x:c r="C15" t="str">
        <x:v>0403414000</x:v>
      </x:c>
      <x:c r="D15" t="str">
        <x:v>Mabitac</x:v>
      </x:c>
      <x:c r="E15" s="14" t="n">
        <x:v>0.005415115787125153</x:v>
      </x:c>
      <x:c r="F15" t="n">
        <x:v>0.9145</x:v>
      </x:c>
      <x:c r="G15" s="14" t="n">
        <x:v>0.059773748763313504</x:v>
      </x:c>
      <x:c r="H15" s="16" t="n">
        <x:v>6.896551724137931</x:v>
      </x:c>
      <x:c r="I15" s="16" t="n">
        <x:v>10.344827586206897</x:v>
      </x:c>
      <x:c r="J15" s="16" t="n">
        <x:v>8.333333333448277</x:v>
      </x:c>
      <x:c r="K15" t="str">
        <x:v>SEVERE_OVERSUPPLY</x:v>
      </x:c>
      <x:c r="L15" s="18" t="n">
        <x:v>0.09059354481124184</x:v>
      </x:c>
      <x:c r="M15" t="str">
        <x:v>laguna_muni_v1_2026-09-09</x:v>
      </x:c>
    </x:row>
    <x:row r="16">
      <x:c r="A16" t="str">
        <x:v>Rice</x:v>
      </x:c>
      <x:c r="B16" t="str">
        <x:v>0403415</x:v>
      </x:c>
      <x:c r="C16" t="str">
        <x:v>0403415000</x:v>
      </x:c>
      <x:c r="D16" t="str">
        <x:v>Magdalena</x:v>
      </x:c>
      <x:c r="E16" s="14" t="n">
        <x:v>0.007043356380044857</x:v>
      </x:c>
      <x:c r="F16" t="n">
        <x:v>1.0931</x:v>
      </x:c>
      <x:c r="G16" s="14" t="n">
        <x:v>0.029802942891308318</x:v>
      </x:c>
      <x:c r="H16" s="16" t="n">
        <x:v>31.03448275862069</x:v>
      </x:c>
      <x:c r="I16" s="16" t="n">
        <x:v>44.827586206896555</x:v>
      </x:c>
      <x:c r="J16" s="16" t="n">
        <x:v>36.781609195862075</x:v>
      </x:c>
      <x:c r="K16" t="str">
        <x:v>OVERSUPPLY_LEANING</x:v>
      </x:c>
      <x:c r="L16" s="18" t="n">
        <x:v>0.2363309021438608</x:v>
      </x:c>
      <x:c r="M16" t="str">
        <x:v>laguna_muni_v1_2026-09-09</x:v>
      </x:c>
    </x:row>
    <x:row r="17">
      <x:c r="A17" t="str">
        <x:v>Rice</x:v>
      </x:c>
      <x:c r="B17" t="str">
        <x:v>0403416</x:v>
      </x:c>
      <x:c r="C17" t="str">
        <x:v>0403416000</x:v>
      </x:c>
      <x:c r="D17" t="str">
        <x:v>Majayjay</x:v>
      </x:c>
      <x:c r="E17" s="14" t="n">
        <x:v>0.007097317472697046</x:v>
      </x:c>
      <x:c r="F17" t="n">
        <x:v>0.9739</x:v>
      </x:c>
      <x:c r="G17" s="14" t="n">
        <x:v>0.05484401791231961</x:v>
      </x:c>
      <x:c r="H17" s="16" t="n">
        <x:v>34.48275862068966</x:v>
      </x:c>
      <x:c r="I17" s="16" t="n">
        <x:v>17.24137931034483</x:v>
      </x:c>
      <x:c r="J17" s="16" t="n">
        <x:v>27.298850574137933</x:v>
      </x:c>
      <x:c r="K17" t="str">
        <x:v>OVERSUPPLY_LEANING</x:v>
      </x:c>
      <x:c r="L17" s="18" t="n">
        <x:v>0.12940914511485446</x:v>
      </x:c>
      <x:c r="M17" t="str">
        <x:v>laguna_muni_v1_2026-09-09</x:v>
      </x:c>
    </x:row>
    <x:row r="18">
      <x:c r="A18" t="str">
        <x:v>Rice</x:v>
      </x:c>
      <x:c r="B18" t="str">
        <x:v>0403417</x:v>
      </x:c>
      <x:c r="C18" t="str">
        <x:v>0403417000</x:v>
      </x:c>
      <x:c r="D18" t="str">
        <x:v>Nagcarlan</x:v>
      </x:c>
      <x:c r="E18" s="14" t="n">
        <x:v>0.017062504551444698</x:v>
      </x:c>
      <x:c r="F18" t="n">
        <x:v>0.8062</x:v>
      </x:c>
      <x:c r="G18" s="14" t="n">
        <x:v>0.03968463234056456</x:v>
      </x:c>
      <x:c r="H18" s="16" t="n">
        <x:v>65.51724137931035</x:v>
      </x:c>
      <x:c r="I18" s="16" t="n">
        <x:v>24.137931034482758</x:v>
      </x:c>
      <x:c r="J18" s="16" t="n">
        <x:v>48.27586206758622</x:v>
      </x:c>
      <x:c r="K18" t="str">
        <x:v>BALANCED</x:v>
      </x:c>
      <x:c r="L18" s="18" t="n">
        <x:v>0.42995244116206327</x:v>
      </x:c>
      <x:c r="M18" t="str">
        <x:v>laguna_muni_v1_2026-09-09</x:v>
      </x:c>
    </x:row>
    <x:row r="19">
      <x:c r="A19" t="str">
        <x:v>Rice</x:v>
      </x:c>
      <x:c r="B19" t="str">
        <x:v>0403418</x:v>
      </x:c>
      <x:c r="C19" t="str">
        <x:v>0403418000</x:v>
      </x:c>
      <x:c r="D19" t="str">
        <x:v>Paete</x:v>
      </x:c>
      <x:c r="E19" s="14" t="n">
        <x:v>0.006645111481574426</x:v>
      </x:c>
      <x:c r="F19" t="n">
        <x:v>1.1565</x:v>
      </x:c>
      <x:c r="G19" s="14" t="n">
        <x:v>0.03176185473095277</x:v>
      </x:c>
      <x:c r="H19" s="16" t="n">
        <x:v>20.689655172413794</x:v>
      </x:c>
      <x:c r="I19" s="16" t="n">
        <x:v>41.37931034482759</x:v>
      </x:c>
      <x:c r="J19" s="16" t="n">
        <x:v>29.310344828275863</x:v>
      </x:c>
      <x:c r="K19" t="str">
        <x:v>OVERSUPPLY_LEANING</x:v>
      </x:c>
      <x:c r="L19" s="18" t="n">
        <x:v>0.20921673302342098</x:v>
      </x:c>
      <x:c r="M19" t="str">
        <x:v>laguna_muni_v1_2026-09-09</x:v>
      </x:c>
    </x:row>
    <x:row r="20">
      <x:c r="A20" t="str">
        <x:v>Rice</x:v>
      </x:c>
      <x:c r="B20" t="str">
        <x:v>0403419</x:v>
      </x:c>
      <x:c r="C20" t="str">
        <x:v>0403419000</x:v>
      </x:c>
      <x:c r="D20" t="str">
        <x:v>Pagsanjan</x:v>
      </x:c>
      <x:c r="E20" s="14" t="n">
        <x:v>0.012028319385316677</x:v>
      </x:c>
      <x:c r="F20" t="n">
        <x:v>0.9767</x:v>
      </x:c>
      <x:c r="G20" s="14" t="n">
        <x:v>0.012984684801085621</x:v>
      </x:c>
      <x:c r="H20" s="16" t="n">
        <x:v>51.724137931034484</x:v>
      </x:c>
      <x:c r="I20" s="16" t="n">
        <x:v>75.86206896551724</x:v>
      </x:c>
      <x:c r="J20" s="16" t="n">
        <x:v>61.7816091962069</x:v>
      </x:c>
      <x:c r="K20" t="str">
        <x:v>UNDERSUPPLY_LEANING</x:v>
      </x:c>
      <x:c r="L20" s="18" t="n">
        <x:v>0.9263466591280687</x:v>
      </x:c>
      <x:c r="M20" t="str">
        <x:v>laguna_muni_v1_2026-09-09</x:v>
      </x:c>
    </x:row>
    <x:row r="21">
      <x:c r="A21" t="str">
        <x:v>Rice</x:v>
      </x:c>
      <x:c r="B21" t="str">
        <x:v>0403420</x:v>
      </x:c>
      <x:c r="C21" t="str">
        <x:v>0403420000</x:v>
      </x:c>
      <x:c r="D21" t="str">
        <x:v>Pakil</x:v>
      </x:c>
      <x:c r="E21" s="14" t="n">
        <x:v>0.005968877857686415</x:v>
      </x:c>
      <x:c r="F21" t="n">
        <x:v>0.8943</x:v>
      </x:c>
      <x:c r="G21" s="14" t="n">
        <x:v>0.03365632225994867</x:v>
      </x:c>
      <x:c r="H21" s="16" t="n">
        <x:v>13.793103448275861</x:v>
      </x:c>
      <x:c r="I21" s="16" t="n">
        <x:v>34.48275862068966</x:v>
      </x:c>
      <x:c r="J21" s="16" t="n">
        <x:v>22.41379310413793</x:v>
      </x:c>
      <x:c r="K21" t="str">
        <x:v>SEVERE_OVERSUPPLY</x:v>
      </x:c>
      <x:c r="L21" s="18" t="n">
        <x:v>0.17734789355726588</x:v>
      </x:c>
      <x:c r="M21" t="str">
        <x:v>laguna_muni_v1_2026-09-09</x:v>
      </x:c>
    </x:row>
    <x:row r="22">
      <x:c r="A22" t="str">
        <x:v>Rice</x:v>
      </x:c>
      <x:c r="B22" t="str">
        <x:v>0403421</x:v>
      </x:c>
      <x:c r="C22" t="str">
        <x:v>0403421000</x:v>
      </x:c>
      <x:c r="D22" t="str">
        <x:v>Pangil</x:v>
      </x:c>
      <x:c r="E22" s="14" t="n">
        <x:v>0.006673859468441977</x:v>
      </x:c>
      <x:c r="F22" t="n">
        <x:v>1.0017</x:v>
      </x:c>
      <x:c r="G22" s="14" t="n">
        <x:v>0.02204992076124774</x:v>
      </x:c>
      <x:c r="H22" s="16" t="n">
        <x:v>24.137931034482758</x:v>
      </x:c>
      <x:c r="I22" s="16" t="n">
        <x:v>62.06896551724138</x:v>
      </x:c>
      <x:c r="J22" s="16" t="n">
        <x:v>39.94252873689655</x:v>
      </x:c>
      <x:c r="K22" t="str">
        <x:v>OVERSUPPLY_LEANING</x:v>
      </x:c>
      <x:c r="L22" s="18" t="n">
        <x:v>0.3026704513229427</x:v>
      </x:c>
      <x:c r="M22" t="str">
        <x:v>laguna_muni_v1_2026-09-09</x:v>
      </x:c>
    </x:row>
    <x:row r="23">
      <x:c r="A23" t="str">
        <x:v>Rice</x:v>
      </x:c>
      <x:c r="B23" t="str">
        <x:v>0403422</x:v>
      </x:c>
      <x:c r="C23" t="str">
        <x:v>0403422000</x:v>
      </x:c>
      <x:c r="D23" t="str">
        <x:v>Pila</x:v>
      </x:c>
      <x:c r="E23" s="14" t="n">
        <x:v>0.015159501832278247</x:v>
      </x:c>
      <x:c r="F23" t="n">
        <x:v>0.9889</x:v>
      </x:c>
      <x:c r="G23" s="14" t="n">
        <x:v>0.01590658230633095</x:v>
      </x:c>
      <x:c r="H23" s="16" t="n">
        <x:v>62.06896551724138</x:v>
      </x:c>
      <x:c r="I23" s="16" t="n">
        <x:v>65.51724137931035</x:v>
      </x:c>
      <x:c r="J23" s="16" t="n">
        <x:v>63.50574712655173</x:v>
      </x:c>
      <x:c r="K23" t="str">
        <x:v>UNDERSUPPLY_LEANING</x:v>
      </x:c>
      <x:c r="L23" s="18" t="n">
        <x:v>0.9530332500303753</x:v>
      </x:c>
      <x:c r="M23" t="str">
        <x:v>laguna_muni_v1_2026-09-09</x:v>
      </x:c>
    </x:row>
    <x:row r="24">
      <x:c r="A24" t="str">
        <x:v>Rice</x:v>
      </x:c>
      <x:c r="B24" t="str">
        <x:v>0403423</x:v>
      </x:c>
      <x:c r="C24" t="str">
        <x:v>0403423000</x:v>
      </x:c>
      <x:c r="D24" t="str">
        <x:v>Rizal</x:v>
      </x:c>
      <x:c r="E24" s="14" t="n">
        <x:v>0.0047565134097373426</x:v>
      </x:c>
      <x:c r="F24" t="n">
        <x:v>1.1569</x:v>
      </x:c>
      <x:c r="G24" s="14" t="n">
        <x:v>0.023889893182829858</x:v>
      </x:c>
      <x:c r="H24" s="16" t="n">
        <x:v>3.4482758620689653</x:v>
      </x:c>
      <x:c r="I24" s="16" t="n">
        <x:v>58.620689655172406</x:v>
      </x:c>
      <x:c r="J24" s="16" t="n">
        <x:v>26.43678161103448</x:v>
      </x:c>
      <x:c r="K24" t="str">
        <x:v>OVERSUPPLY_LEANING</x:v>
      </x:c>
      <x:c r="L24" s="18" t="n">
        <x:v>0.19910149339453487</x:v>
      </x:c>
      <x:c r="M24" t="str">
        <x:v>laguna_muni_v1_2026-09-09</x:v>
      </x:c>
    </x:row>
    <x:row r="25">
      <x:c r="A25" t="str">
        <x:v>Rice</x:v>
      </x:c>
      <x:c r="B25" t="str">
        <x:v>0403424</x:v>
      </x:c>
      <x:c r="C25" t="str">
        <x:v>0403424000</x:v>
      </x:c>
      <x:c r="D25" t="str">
        <x:v>San Pablo</x:v>
      </x:c>
      <x:c r="E25" s="14" t="n">
        <x:v>0.08012899906025256</x:v>
      </x:c>
      <x:c r="F25" t="n">
        <x:v>1.0148</x:v>
      </x:c>
      <x:c r="G25" s="14" t="n">
        <x:v>0.08327965317417149</x:v>
      </x:c>
      <x:c r="H25" s="16" t="n">
        <x:v>82.75862068965517</x:v>
      </x:c>
      <x:c r="I25" s="16" t="n">
        <x:v>3.4482758620689653</x:v>
      </x:c>
      <x:c r="J25" s="16" t="n">
        <x:v>49.71264367551724</x:v>
      </x:c>
      <x:c r="K25" t="str">
        <x:v>BALANCED</x:v>
      </x:c>
      <x:c r="L25" s="18" t="n">
        <x:v>0.9621677805582398</x:v>
      </x:c>
      <x:c r="M25" t="str">
        <x:v>laguna_muni_v1_2026-09-09</x:v>
      </x:c>
    </x:row>
    <x:row r="26">
      <x:c r="A26" t="str">
        <x:v>Rice</x:v>
      </x:c>
      <x:c r="B26" t="str">
        <x:v>0403425</x:v>
      </x:c>
      <x:c r="C26" t="str">
        <x:v>0403425000</x:v>
      </x:c>
      <x:c r="D26" t="str">
        <x:v>San Pedro</x:v>
      </x:c>
      <x:c r="E26" s="14" t="n">
        <x:v>0.09592749434916523</x:v>
      </x:c>
      <x:c r="F26" t="n">
        <x:v>0.8793</x:v>
      </x:c>
      <x:c r="G26" s="14" t="n">
        <x:v>0.005100337223852464</x:v>
      </x:c>
      <x:c r="H26" s="16" t="n">
        <x:v>86.20689655172413</x:v>
      </x:c>
      <x:c r="I26" s="16" t="n">
        <x:v>100</x:v>
      </x:c>
      <x:c r="J26" s="16" t="n">
        <x:v>91.95402298896552</x:v>
      </x:c>
      <x:c r="K26" t="str">
        <x:v>HIGH_OPPORTUNITY</x:v>
      </x:c>
      <x:c r="L26" s="18" t="n">
        <x:v>18.80806898425195</x:v>
      </x:c>
      <x:c r="M26" t="str">
        <x:v>laguna_muni_v1_2026-09-09</x:v>
      </x:c>
    </x:row>
    <x:row r="27">
      <x:c r="A27" t="str">
        <x:v>Rice</x:v>
      </x:c>
      <x:c r="B27" t="str">
        <x:v>0403426</x:v>
      </x:c>
      <x:c r="C27" t="str">
        <x:v>0403426000</x:v>
      </x:c>
      <x:c r="D27" t="str">
        <x:v>Santa Cruz</x:v>
      </x:c>
      <x:c r="E27" s="14" t="n">
        <x:v>0.03427145653978878</x:v>
      </x:c>
      <x:c r="F27" t="n">
        <x:v>1.0606</x:v>
      </x:c>
      <x:c r="G27" s="14" t="n">
        <x:v>0.014094719570446907</x:v>
      </x:c>
      <x:c r="H27" s="16" t="n">
        <x:v>79.3103448275862</x:v>
      </x:c>
      <x:c r="I27" s="16" t="n">
        <x:v>72.41379310344827</x:v>
      </x:c>
      <x:c r="J27" s="16" t="n">
        <x:v>76.43678160896552</x:v>
      </x:c>
      <x:c r="K27" t="str">
        <x:v>HIGH_OPPORTUNITY</x:v>
      </x:c>
      <x:c r="L27" s="18" t="n">
        <x:v>2.43151035169564</x:v>
      </x:c>
      <x:c r="M27" t="str">
        <x:v>laguna_muni_v1_2026-09-09</x:v>
      </x:c>
    </x:row>
    <x:row r="28">
      <x:c r="A28" t="str">
        <x:v>Rice</x:v>
      </x:c>
      <x:c r="B28" t="str">
        <x:v>0403427</x:v>
      </x:c>
      <x:c r="C28" t="str">
        <x:v>0403427000</x:v>
      </x:c>
      <x:c r="D28" t="str">
        <x:v>Santa Maria</x:v>
      </x:c>
      <x:c r="E28" s="14" t="n">
        <x:v>0.008491184411097202</x:v>
      </x:c>
      <x:c r="F28" t="n">
        <x:v>0.8248</x:v>
      </x:c>
      <x:c r="G28" s="14" t="n">
        <x:v>0.07236164118606885</x:v>
      </x:c>
      <x:c r="H28" s="16" t="n">
        <x:v>41.37931034482759</x:v>
      </x:c>
      <x:c r="I28" s="16" t="n">
        <x:v>6.896551724137931</x:v>
      </x:c>
      <x:c r="J28" s="16" t="n">
        <x:v>27.011494251724137</x:v>
      </x:c>
      <x:c r="K28" t="str">
        <x:v>OVERSUPPLY_LEANING</x:v>
      </x:c>
      <x:c r="L28" s="18" t="n">
        <x:v>0.11734372344130768</x:v>
      </x:c>
      <x:c r="M28" t="str">
        <x:v>laguna_muni_v1_2026-09-09</x:v>
      </x:c>
    </x:row>
    <x:row r="29">
      <x:c r="A29" t="str">
        <x:v>Rice</x:v>
      </x:c>
      <x:c r="B29" t="str">
        <x:v>0403428</x:v>
      </x:c>
      <x:c r="C29" t="str">
        <x:v>0403428000</x:v>
      </x:c>
      <x:c r="D29" t="str">
        <x:v>Santa Rosa</x:v>
      </x:c>
      <x:c r="E29" s="14" t="n">
        <x:v>0.11921820116219989</x:v>
      </x:c>
      <x:c r="F29" t="n">
        <x:v>1.1637</x:v>
      </x:c>
      <x:c r="G29" s="14" t="n">
        <x:v>0.01291245921788051</x:v>
      </x:c>
      <x:c r="H29" s="16" t="n">
        <x:v>93.10344827586206</x:v>
      </x:c>
      <x:c r="I29" s="16" t="n">
        <x:v>79.3103448275862</x:v>
      </x:c>
      <x:c r="J29" s="16" t="n">
        <x:v>87.35632183862069</x:v>
      </x:c>
      <x:c r="K29" t="str">
        <x:v>HIGH_OPPORTUNITY</x:v>
      </x:c>
      <x:c r="L29" s="18" t="n">
        <x:v>9.23280369374663</x:v>
      </x:c>
      <x:c r="M29" t="str">
        <x:v>laguna_muni_v1_2026-09-09</x:v>
      </x:c>
    </x:row>
    <x:row r="30">
      <x:c r="A30" t="str">
        <x:v>Rice</x:v>
      </x:c>
      <x:c r="B30" t="str">
        <x:v>0403429</x:v>
      </x:c>
      <x:c r="C30" t="str">
        <x:v>0403429000</x:v>
      </x:c>
      <x:c r="D30" t="str">
        <x:v>Siniloan</x:v>
      </x:c>
      <x:c r="E30" s="14" t="n">
        <x:v>0.010923461441461441</x:v>
      </x:c>
      <x:c r="F30" t="n">
        <x:v>0.9819</x:v>
      </x:c>
      <x:c r="G30" s="14" t="n">
        <x:v>0.04038435840410658</x:v>
      </x:c>
      <x:c r="H30" s="16" t="n">
        <x:v>48.275862068965516</x:v>
      </x:c>
      <x:c r="I30" s="16" t="n">
        <x:v>20.689655172413794</x:v>
      </x:c>
      <x:c r="J30" s="16" t="n">
        <x:v>36.781609194482755</x:v>
      </x:c>
      <x:c r="K30" t="str">
        <x:v>OVERSUPPLY_LEANING</x:v>
      </x:c>
      <x:c r="L30" s="18" t="n">
        <x:v>0.27048743308376205</x:v>
      </x:c>
      <x:c r="M30" t="str">
        <x:v>laguna_muni_v1_2026-09-09</x:v>
      </x:c>
    </x:row>
    <x:row r="31">
      <x:c r="A31" t="str">
        <x:v>Rice</x:v>
      </x:c>
      <x:c r="B31" t="str">
        <x:v>0403430</x:v>
      </x:c>
      <x:c r="C31" t="str">
        <x:v>0403430000</x:v>
      </x:c>
      <x:c r="D31" t="str">
        <x:v>Victoria</x:v>
      </x:c>
      <x:c r="E31" s="14" t="n">
        <x:v>0.012169202310186875</x:v>
      </x:c>
      <x:c r="F31" t="n">
        <x:v>1.0408</x:v>
      </x:c>
      <x:c r="G31" s="14" t="n">
        <x:v>0.008589703285776256</x:v>
      </x:c>
      <x:c r="H31" s="16" t="n">
        <x:v>55.172413793103445</x:v>
      </x:c>
      <x:c r="I31" s="16" t="n">
        <x:v>96.55172413793103</x:v>
      </x:c>
      <x:c r="J31" s="16" t="n">
        <x:v>72.41379310482759</x:v>
      </x:c>
      <x:c r="K31" t="str">
        <x:v>UNDERSUPPLY_LEANING</x:v>
      </x:c>
      <x:c r="L31" s="18" t="n">
        <x:v>1.4167197521639583</x:v>
      </x:c>
      <x:c r="M31" t="str">
        <x:v>laguna_muni_v1_2026-09-09</x:v>
      </x:c>
    </x:row>
    <x:row r="32">
      <x:c r="A32" t="str">
        <x:v>Tomato</x:v>
      </x:c>
      <x:c r="B32" t="str">
        <x:v>0403401</x:v>
      </x:c>
      <x:c r="C32" t="str">
        <x:v>0403401000</x:v>
      </x:c>
      <x:c r="D32" t="str">
        <x:v>Alaminos</x:v>
      </x:c>
      <x:c r="E32" s="14" t="n">
        <x:v>0.013909675391322093</x:v>
      </x:c>
      <x:c r="F32" t="n">
        <x:v>1.0233</x:v>
      </x:c>
      <x:c r="G32" s="14" t="n">
        <x:v>0.0326055254978097</x:v>
      </x:c>
      <x:c r="H32" s="16" t="n">
        <x:v>58.620689655172406</x:v>
      </x:c>
      <x:c r="I32" s="16" t="n">
        <x:v>44.827586206896555</x:v>
      </x:c>
      <x:c r="J32" s="16" t="n">
        <x:v>52.873563217931036</x:v>
      </x:c>
      <x:c r="K32" t="str">
        <x:v>BALANCED</x:v>
      </x:c>
      <x:c r="L32" s="18" t="n">
        <x:v>0.4266048523664029</x:v>
      </x:c>
      <x:c r="M32" t="str">
        <x:v>laguna_muni_v1_2026-09-09</x:v>
      </x:c>
    </x:row>
    <x:row r="33">
      <x:c r="A33" t="str">
        <x:v>Tomato</x:v>
      </x:c>
      <x:c r="B33" t="str">
        <x:v>0403402</x:v>
      </x:c>
      <x:c r="C33" t="str">
        <x:v>0403402000</x:v>
      </x:c>
      <x:c r="D33" t="str">
        <x:v>Bay</x:v>
      </x:c>
      <x:c r="E33" s="14" t="n">
        <x:v>0.018865307543054568</x:v>
      </x:c>
      <x:c r="F33" t="n">
        <x:v>1.1109</x:v>
      </x:c>
      <x:c r="G33" s="14" t="n">
        <x:v>0.015589113372363999</x:v>
      </x:c>
      <x:c r="H33" s="16" t="n">
        <x:v>68.96551724137932</x:v>
      </x:c>
      <x:c r="I33" s="16" t="n">
        <x:v>65.51724137931035</x:v>
      </x:c>
      <x:c r="J33" s="16" t="n">
        <x:v>67.52873563206897</x:v>
      </x:c>
      <x:c r="K33" t="str">
        <x:v>UNDERSUPPLY_LEANING</x:v>
      </x:c>
      <x:c r="L33" s="18" t="n">
        <x:v>1.2101591086314458</x:v>
      </x:c>
      <x:c r="M33" t="str">
        <x:v>laguna_muni_v1_2026-09-09</x:v>
      </x:c>
    </x:row>
    <x:row r="34">
      <x:c r="A34" t="str">
        <x:v>Tomato</x:v>
      </x:c>
      <x:c r="B34" t="str">
        <x:v>0403403</x:v>
      </x:c>
      <x:c r="C34" t="str">
        <x:v>0403403000</x:v>
      </x:c>
      <x:c r="D34" t="str">
        <x:v>Biñan</x:v>
      </x:c>
      <x:c r="E34" s="14" t="n">
        <x:v>0.1613783856100605</x:v>
      </x:c>
      <x:c r="F34" t="n">
        <x:v>1.0981</x:v>
      </x:c>
      <x:c r="G34" s="14" t="n">
        <x:v>0.009107475799582982</x:v>
      </x:c>
      <x:c r="H34" s="16" t="n">
        <x:v>100</x:v>
      </x:c>
      <x:c r="I34" s="16" t="n">
        <x:v>89.65517241379311</x:v>
      </x:c>
      <x:c r="J34" s="16" t="n">
        <x:v>95.68965517206897</x:v>
      </x:c>
      <x:c r="K34" t="str">
        <x:v>HIGH_OPPORTUNITY</x:v>
      </x:c>
      <x:c r="L34" s="18" t="n">
        <x:v>17.719331806234365</x:v>
      </x:c>
      <x:c r="M34" t="str">
        <x:v>laguna_muni_v1_2026-09-09</x:v>
      </x:c>
    </x:row>
    <x:row r="35">
      <x:c r="A35" t="str">
        <x:v>Tomato</x:v>
      </x:c>
      <x:c r="B35" t="str">
        <x:v>0403404</x:v>
      </x:c>
      <x:c r="C35" t="str">
        <x:v>0403404000</x:v>
      </x:c>
      <x:c r="D35" t="str">
        <x:v>Cabuyao</x:v>
      </x:c>
      <x:c r="E35" s="14" t="n">
        <x:v>0.10103667850375411</x:v>
      </x:c>
      <x:c r="F35" t="n">
        <x:v>0.8161</x:v>
      </x:c>
      <x:c r="G35" s="14" t="n">
        <x:v>0.006865938574001924</x:v>
      </x:c>
      <x:c r="H35" s="16" t="n">
        <x:v>89.65517241379311</x:v>
      </x:c>
      <x:c r="I35" s="16" t="n">
        <x:v>96.55172413793103</x:v>
      </x:c>
      <x:c r="J35" s="16" t="n">
        <x:v>92.5287356324138</x:v>
      </x:c>
      <x:c r="K35" t="str">
        <x:v>HIGH_OPPORTUNITY</x:v>
      </x:c>
      <x:c r="L35" s="18" t="n">
        <x:v>14.715639735888757</x:v>
      </x:c>
      <x:c r="M35" t="str">
        <x:v>laguna_muni_v1_2026-09-09</x:v>
      </x:c>
    </x:row>
    <x:row r="36">
      <x:c r="A36" t="str">
        <x:v>Tomato</x:v>
      </x:c>
      <x:c r="B36" t="str">
        <x:v>0403405</x:v>
      </x:c>
      <x:c r="C36" t="str">
        <x:v>0403405000</x:v>
      </x:c>
      <x:c r="D36" t="str">
        <x:v>Calamba</x:v>
      </x:c>
      <x:c r="E36" s="14" t="n">
        <x:v>0.1580102321719133</x:v>
      </x:c>
      <x:c r="F36" t="n">
        <x:v>1.0819</x:v>
      </x:c>
      <x:c r="G36" s="14" t="n">
        <x:v>0.03783758763828291</x:v>
      </x:c>
      <x:c r="H36" s="16" t="n">
        <x:v>96.55172413793103</x:v>
      </x:c>
      <x:c r="I36" s="16" t="n">
        <x:v>31.03448275862069</x:v>
      </x:c>
      <x:c r="J36" s="16" t="n">
        <x:v>69.25287356103448</x:v>
      </x:c>
      <x:c r="K36" t="str">
        <x:v>UNDERSUPPLY_LEANING</x:v>
      </x:c>
      <x:c r="L36" s="18" t="n">
        <x:v>4.17601232093463</x:v>
      </x:c>
      <x:c r="M36" t="str">
        <x:v>laguna_muni_v1_2026-09-09</x:v>
      </x:c>
    </x:row>
    <x:row r="37">
      <x:c r="A37" t="str">
        <x:v>Tomato</x:v>
      </x:c>
      <x:c r="B37" t="str">
        <x:v>0403406</x:v>
      </x:c>
      <x:c r="C37" t="str">
        <x:v>0403406000</x:v>
      </x:c>
      <x:c r="D37" t="str">
        <x:v>Calauan</x:v>
      </x:c>
      <x:c r="E37" s="14" t="n">
        <x:v>0.024093603384818266</x:v>
      </x:c>
      <x:c r="F37" t="n">
        <x:v>1.1719</x:v>
      </x:c>
      <x:c r="G37" s="14" t="n">
        <x:v>0.03304180156386202</x:v>
      </x:c>
      <x:c r="H37" s="16" t="n">
        <x:v>72.41379310344827</x:v>
      </x:c>
      <x:c r="I37" s="16" t="n">
        <x:v>41.37931034482759</x:v>
      </x:c>
      <x:c r="J37" s="16" t="n">
        <x:v>59.48275861965517</x:v>
      </x:c>
      <x:c r="K37" t="str">
        <x:v>BALANCED</x:v>
      </x:c>
      <x:c r="L37" s="18" t="n">
        <x:v>0.7291855239264422</x:v>
      </x:c>
      <x:c r="M37" t="str">
        <x:v>laguna_muni_v1_2026-09-09</x:v>
      </x:c>
    </x:row>
    <x:row r="38">
      <x:c r="A38" t="str">
        <x:v>Tomato</x:v>
      </x:c>
      <x:c r="B38" t="str">
        <x:v>0403407</x:v>
      </x:c>
      <x:c r="C38" t="str">
        <x:v>0403407000</x:v>
      </x:c>
      <x:c r="D38" t="str">
        <x:v>Cavinti</x:v>
      </x:c>
      <x:c r="E38" s="14" t="n">
        <x:v>0.006351068303993657</x:v>
      </x:c>
      <x:c r="F38" t="n">
        <x:v>1.135</x:v>
      </x:c>
      <x:c r="G38" s="14" t="n">
        <x:v>0.1420034196527291</x:v>
      </x:c>
      <x:c r="H38" s="16" t="n">
        <x:v>17.24137931034483</x:v>
      </x:c>
      <x:c r="I38" s="16" t="n">
        <x:v>0</x:v>
      </x:c>
      <x:c r="J38" s="16" t="n">
        <x:v>10.057471263793104</x:v>
      </x:c>
      <x:c r="K38" t="str">
        <x:v>SEVERE_OVERSUPPLY</x:v>
      </x:c>
      <x:c r="L38" s="18" t="n">
        <x:v>0.044724756062391055</x:v>
      </x:c>
      <x:c r="M38" t="str">
        <x:v>laguna_muni_v1_2026-09-09</x:v>
      </x:c>
    </x:row>
    <x:row r="39">
      <x:c r="A39" t="str">
        <x:v>Tomato</x:v>
      </x:c>
      <x:c r="B39" t="str">
        <x:v>0403408</x:v>
      </x:c>
      <x:c r="C39" t="str">
        <x:v>0403408000</x:v>
      </x:c>
      <x:c r="D39" t="str">
        <x:v>Famy</x:v>
      </x:c>
      <x:c r="E39" s="14" t="n">
        <x:v>0.004456411218566179</x:v>
      </x:c>
      <x:c r="F39" t="n">
        <x:v>1.1101</x:v>
      </x:c>
      <x:c r="G39" s="14" t="n">
        <x:v>0.04176109245746278</x:v>
      </x:c>
      <x:c r="H39" s="16" t="n">
        <x:v>0</x:v>
      </x:c>
      <x:c r="I39" s="16" t="n">
        <x:v>24.137931034482758</x:v>
      </x:c>
      <x:c r="J39" s="16" t="n">
        <x:v>10.057471265172413</x:v>
      </x:c>
      <x:c r="K39" t="str">
        <x:v>SEVERE_OVERSUPPLY</x:v>
      </x:c>
      <x:c r="L39" s="18" t="n">
        <x:v>0.10671203640339179</x:v>
      </x:c>
      <x:c r="M39" t="str">
        <x:v>laguna_muni_v1_2026-09-09</x:v>
      </x:c>
    </x:row>
    <x:row r="40">
      <x:c r="A40" t="str">
        <x:v>Tomato</x:v>
      </x:c>
      <x:c r="B40" t="str">
        <x:v>0403409</x:v>
      </x:c>
      <x:c r="C40" t="str">
        <x:v>0403409000</x:v>
      </x:c>
      <x:c r="D40" t="str">
        <x:v>Kalayaan</x:v>
      </x:c>
      <x:c r="E40" s="14" t="n">
        <x:v>0.006983720996791543</x:v>
      </x:c>
      <x:c r="F40" t="n">
        <x:v>0.8716</x:v>
      </x:c>
      <x:c r="G40" s="14" t="n">
        <x:v>0.00789172199460634</x:v>
      </x:c>
      <x:c r="H40" s="16" t="n">
        <x:v>27.586206896551722</x:v>
      </x:c>
      <x:c r="I40" s="16" t="n">
        <x:v>93.10344827586206</x:v>
      </x:c>
      <x:c r="J40" s="16" t="n">
        <x:v>54.88505747344827</x:v>
      </x:c>
      <x:c r="K40" t="str">
        <x:v>BALANCED</x:v>
      </x:c>
      <x:c r="L40" s="18" t="n">
        <x:v>0.8849426020790674</x:v>
      </x:c>
      <x:c r="M40" t="str">
        <x:v>laguna_muni_v1_2026-09-09</x:v>
      </x:c>
    </x:row>
    <x:row r="41">
      <x:c r="A41" t="str">
        <x:v>Tomato</x:v>
      </x:c>
      <x:c r="B41" t="str">
        <x:v>0403410</x:v>
      </x:c>
      <x:c r="C41" t="str">
        <x:v>0403410000</x:v>
      </x:c>
      <x:c r="D41" t="str">
        <x:v>Liliw</x:v>
      </x:c>
      <x:c r="E41" s="14" t="n">
        <x:v>0.009953773620843992</x:v>
      </x:c>
      <x:c r="F41" t="n">
        <x:v>1.1542</x:v>
      </x:c>
      <x:c r="G41" s="14" t="n">
        <x:v>0.0350740937266404</x:v>
      </x:c>
      <x:c r="H41" s="16" t="n">
        <x:v>44.827586206896555</x:v>
      </x:c>
      <x:c r="I41" s="16" t="n">
        <x:v>37.93103448275862</x:v>
      </x:c>
      <x:c r="J41" s="16" t="n">
        <x:v>41.95402298827587</x:v>
      </x:c>
      <x:c r="K41" t="str">
        <x:v>BALANCED</x:v>
      </x:c>
      <x:c r="L41" s="18" t="n">
        <x:v>0.2837927530906847</x:v>
      </x:c>
      <x:c r="M41" t="str">
        <x:v>laguna_muni_v1_2026-09-09</x:v>
      </x:c>
    </x:row>
    <x:row r="42">
      <x:c r="A42" t="str">
        <x:v>Tomato</x:v>
      </x:c>
      <x:c r="B42" t="str">
        <x:v>0403411</x:v>
      </x:c>
      <x:c r="C42" t="str">
        <x:v>0403411000</x:v>
      </x:c>
      <x:c r="D42" t="str">
        <x:v>Los Baños</x:v>
      </x:c>
      <x:c r="E42" s="14" t="n">
        <x:v>0.03220264714835558</x:v>
      </x:c>
      <x:c r="F42" t="n">
        <x:v>0.9909</x:v>
      </x:c>
      <x:c r="G42" s="14" t="n">
        <x:v>0.012130092403279665</x:v>
      </x:c>
      <x:c r="H42" s="16" t="n">
        <x:v>75.86206896551724</x:v>
      </x:c>
      <x:c r="I42" s="16" t="n">
        <x:v>79.3103448275862</x:v>
      </x:c>
      <x:c r="J42" s="16" t="n">
        <x:v>77.29885057482758</x:v>
      </x:c>
      <x:c r="K42" t="str">
        <x:v>HIGH_OPPORTUNITY</x:v>
      </x:c>
      <x:c r="L42" s="18" t="n">
        <x:v>2.6547734409384063</x:v>
      </x:c>
      <x:c r="M42" t="str">
        <x:v>laguna_muni_v1_2026-09-09</x:v>
      </x:c>
    </x:row>
    <x:row r="43">
      <x:c r="A43" t="str">
        <x:v>Tomato</x:v>
      </x:c>
      <x:c r="B43" t="str">
        <x:v>0403412</x:v>
      </x:c>
      <x:c r="C43" t="str">
        <x:v>0403412000</x:v>
      </x:c>
      <x:c r="D43" t="str">
        <x:v>Luisiana</x:v>
      </x:c>
      <x:c r="E43" s="14" t="n">
        <x:v>0.005434039311119153</x:v>
      </x:c>
      <x:c r="F43" t="n">
        <x:v>0.9737</x:v>
      </x:c>
      <x:c r="G43" s="14" t="n">
        <x:v>0.05547751765858301</x:v>
      </x:c>
      <x:c r="H43" s="16" t="n">
        <x:v>10.344827586206897</x:v>
      </x:c>
      <x:c r="I43" s="16" t="n">
        <x:v>13.793103448275861</x:v>
      </x:c>
      <x:c r="J43" s="16" t="n">
        <x:v>11.781609195517241</x:v>
      </x:c>
      <x:c r="K43" t="str">
        <x:v>SEVERE_OVERSUPPLY</x:v>
      </x:c>
      <x:c r="L43" s="18" t="n">
        <x:v>0.09795029663297208</x:v>
      </x:c>
      <x:c r="M43" t="str">
        <x:v>laguna_muni_v1_2026-09-09</x:v>
      </x:c>
    </x:row>
    <x:row r="44">
      <x:c r="A44" t="str">
        <x:v>Tomato</x:v>
      </x:c>
      <x:c r="B44" t="str">
        <x:v>0403413</x:v>
      </x:c>
      <x:c r="C44" t="str">
        <x:v>0403413000</x:v>
      </x:c>
      <x:c r="D44" t="str">
        <x:v>Lumban</x:v>
      </x:c>
      <x:c r="E44" s="14" t="n">
        <x:v>0.00834397989490821</x:v>
      </x:c>
      <x:c r="F44" t="n">
        <x:v>1.0154</x:v>
      </x:c>
      <x:c r="G44" s="14" t="n">
        <x:v>0.027258967605671168</x:v>
      </x:c>
      <x:c r="H44" s="16" t="n">
        <x:v>37.93103448275862</x:v>
      </x:c>
      <x:c r="I44" s="16" t="n">
        <x:v>48.275862068965516</x:v>
      </x:c>
      <x:c r="J44" s="16" t="n">
        <x:v>42.24137931068965</x:v>
      </x:c>
      <x:c r="K44" t="str">
        <x:v>BALANCED</x:v>
      </x:c>
      <x:c r="L44" s="18" t="n">
        <x:v>0.30610036357988346</x:v>
      </x:c>
      <x:c r="M44" t="str">
        <x:v>laguna_muni_v1_2026-09-09</x:v>
      </x:c>
    </x:row>
    <x:row r="45">
      <x:c r="A45" t="str">
        <x:v>Tomato</x:v>
      </x:c>
      <x:c r="B45" t="str">
        <x:v>0403414</x:v>
      </x:c>
      <x:c r="C45" t="str">
        <x:v>0403414000</x:v>
      </x:c>
      <x:c r="D45" t="str">
        <x:v>Mabitac</x:v>
      </x:c>
      <x:c r="E45" s="14" t="n">
        <x:v>0.005415115787125153</x:v>
      </x:c>
      <x:c r="F45" t="n">
        <x:v>1.0608</x:v>
      </x:c>
      <x:c r="G45" s="14" t="n">
        <x:v>0.06658224770941706</x:v>
      </x:c>
      <x:c r="H45" s="16" t="n">
        <x:v>6.896551724137931</x:v>
      </x:c>
      <x:c r="I45" s="16" t="n">
        <x:v>10.344827586206897</x:v>
      </x:c>
      <x:c r="J45" s="16" t="n">
        <x:v>8.333333333448277</x:v>
      </x:c>
      <x:c r="K45" t="str">
        <x:v>SEVERE_OVERSUPPLY</x:v>
      </x:c>
      <x:c r="L45" s="18" t="n">
        <x:v>0.08132972336347344</x:v>
      </x:c>
      <x:c r="M45" t="str">
        <x:v>laguna_muni_v1_2026-09-09</x:v>
      </x:c>
    </x:row>
    <x:row r="46">
      <x:c r="A46" t="str">
        <x:v>Tomato</x:v>
      </x:c>
      <x:c r="B46" t="str">
        <x:v>0403415</x:v>
      </x:c>
      <x:c r="C46" t="str">
        <x:v>0403415000</x:v>
      </x:c>
      <x:c r="D46" t="str">
        <x:v>Magdalena</x:v>
      </x:c>
      <x:c r="E46" s="14" t="n">
        <x:v>0.007043356380044857</x:v>
      </x:c>
      <x:c r="F46" t="n">
        <x:v>0.9466</x:v>
      </x:c>
      <x:c r="G46" s="14" t="n">
        <x:v>0.02478357274477985</x:v>
      </x:c>
      <x:c r="H46" s="16" t="n">
        <x:v>31.03448275862069</x:v>
      </x:c>
      <x:c r="I46" s="16" t="n">
        <x:v>51.724137931034484</x:v>
      </x:c>
      <x:c r="J46" s="16" t="n">
        <x:v>39.65517241448276</x:v>
      </x:c>
      <x:c r="K46" t="str">
        <x:v>OVERSUPPLY_LEANING</x:v>
      </x:c>
      <x:c r="L46" s="18" t="n">
        <x:v>0.2841945530846999</x:v>
      </x:c>
      <x:c r="M46" t="str">
        <x:v>laguna_muni_v1_2026-09-09</x:v>
      </x:c>
    </x:row>
    <x:row r="47">
      <x:c r="A47" t="str">
        <x:v>Tomato</x:v>
      </x:c>
      <x:c r="B47" t="str">
        <x:v>0403416</x:v>
      </x:c>
      <x:c r="C47" t="str">
        <x:v>0403416000</x:v>
      </x:c>
      <x:c r="D47" t="str">
        <x:v>Majayjay</x:v>
      </x:c>
      <x:c r="E47" s="14" t="n">
        <x:v>0.007097317472697046</x:v>
      </x:c>
      <x:c r="F47" t="n">
        <x:v>0.8228</x:v>
      </x:c>
      <x:c r="G47" s="14" t="n">
        <x:v>0.04449460321419034</x:v>
      </x:c>
      <x:c r="H47" s="16" t="n">
        <x:v>34.48275862068966</x:v>
      </x:c>
      <x:c r="I47" s="16" t="n">
        <x:v>17.24137931034483</x:v>
      </x:c>
      <x:c r="J47" s="16" t="n">
        <x:v>27.298850574137933</x:v>
      </x:c>
      <x:c r="K47" t="str">
        <x:v>OVERSUPPLY_LEANING</x:v>
      </x:c>
      <x:c r="L47" s="18" t="n">
        <x:v>0.15950962498826263</x:v>
      </x:c>
      <x:c r="M47" t="str">
        <x:v>laguna_muni_v1_2026-09-09</x:v>
      </x:c>
    </x:row>
    <x:row r="48">
      <x:c r="A48" t="str">
        <x:v>Tomato</x:v>
      </x:c>
      <x:c r="B48" t="str">
        <x:v>0403417</x:v>
      </x:c>
      <x:c r="C48" t="str">
        <x:v>0403417000</x:v>
      </x:c>
      <x:c r="D48" t="str">
        <x:v>Nagcarlan</x:v>
      </x:c>
      <x:c r="E48" s="14" t="n">
        <x:v>0.017062504551444698</x:v>
      </x:c>
      <x:c r="F48" t="n">
        <x:v>0.8928</x:v>
      </x:c>
      <x:c r="G48" s="14" t="n">
        <x:v>0.042201890466446165</x:v>
      </x:c>
      <x:c r="H48" s="16" t="n">
        <x:v>65.51724137931035</x:v>
      </x:c>
      <x:c r="I48" s="16" t="n">
        <x:v>20.689655172413794</x:v>
      </x:c>
      <x:c r="J48" s="16" t="n">
        <x:v>46.83908045827587</x:v>
      </x:c>
      <x:c r="K48" t="str">
        <x:v>BALANCED</x:v>
      </x:c>
      <x:c r="L48" s="18" t="n">
        <x:v>0.40430664036272823</x:v>
      </x:c>
      <x:c r="M48" t="str">
        <x:v>laguna_muni_v1_2026-09-09</x:v>
      </x:c>
    </x:row>
    <x:row r="49">
      <x:c r="A49" t="str">
        <x:v>Tomato</x:v>
      </x:c>
      <x:c r="B49" t="str">
        <x:v>0403418</x:v>
      </x:c>
      <x:c r="C49" t="str">
        <x:v>0403418000</x:v>
      </x:c>
      <x:c r="D49" t="str">
        <x:v>Paete</x:v>
      </x:c>
      <x:c r="E49" s="14" t="n">
        <x:v>0.006645111481574426</x:v>
      </x:c>
      <x:c r="F49" t="n">
        <x:v>0.9126</x:v>
      </x:c>
      <x:c r="G49" s="14" t="n">
        <x:v>0.024067935528855597</x:v>
      </x:c>
      <x:c r="H49" s="16" t="n">
        <x:v>20.689655172413794</x:v>
      </x:c>
      <x:c r="I49" s="16" t="n">
        <x:v>55.172413793103445</x:v>
      </x:c>
      <x:c r="J49" s="16" t="n">
        <x:v>35.057471265517236</x:v>
      </x:c>
      <x:c r="K49" t="str">
        <x:v>OVERSUPPLY_LEANING</x:v>
      </x:c>
      <x:c r="L49" s="18" t="n">
        <x:v>0.2760981087724558</x:v>
      </x:c>
      <x:c r="M49" t="str">
        <x:v>laguna_muni_v1_2026-09-09</x:v>
      </x:c>
    </x:row>
    <x:row r="50">
      <x:c r="A50" t="str">
        <x:v>Tomato</x:v>
      </x:c>
      <x:c r="B50" t="str">
        <x:v>0403419</x:v>
      </x:c>
      <x:c r="C50" t="str">
        <x:v>0403419000</x:v>
      </x:c>
      <x:c r="D50" t="str">
        <x:v>Pagsanjan</x:v>
      </x:c>
      <x:c r="E50" s="14" t="n">
        <x:v>0.012028319385316677</x:v>
      </x:c>
      <x:c r="F50" t="n">
        <x:v>1.0621</x:v>
      </x:c>
      <x:c r="G50" s="14" t="n">
        <x:v>0.013559191358923776</x:v>
      </x:c>
      <x:c r="H50" s="16" t="n">
        <x:v>51.724137931034484</x:v>
      </x:c>
      <x:c r="I50" s="16" t="n">
        <x:v>72.41379310344827</x:v>
      </x:c>
      <x:c r="J50" s="16" t="n">
        <x:v>60.34482758689656</x:v>
      </x:c>
      <x:c r="K50" t="str">
        <x:v>UNDERSUPPLY_LEANING</x:v>
      </x:c>
      <x:c r="L50" s="18" t="n">
        <x:v>0.8870971038697246</x:v>
      </x:c>
      <x:c r="M50" t="str">
        <x:v>laguna_muni_v1_2026-09-09</x:v>
      </x:c>
    </x:row>
    <x:row r="51">
      <x:c r="A51" t="str">
        <x:v>Tomato</x:v>
      </x:c>
      <x:c r="B51" t="str">
        <x:v>0403420</x:v>
      </x:c>
      <x:c r="C51" t="str">
        <x:v>0403420000</x:v>
      </x:c>
      <x:c r="D51" t="str">
        <x:v>Pakil</x:v>
      </x:c>
      <x:c r="E51" s="14" t="n">
        <x:v>0.005968877857686415</x:v>
      </x:c>
      <x:c r="F51" t="n">
        <x:v>1.148</x:v>
      </x:c>
      <x:c r="G51" s="14" t="n">
        <x:v>0.04148809288783449</x:v>
      </x:c>
      <x:c r="H51" s="16" t="n">
        <x:v>13.793103448275861</x:v>
      </x:c>
      <x:c r="I51" s="16" t="n">
        <x:v>27.586206896551722</x:v>
      </x:c>
      <x:c r="J51" s="16" t="n">
        <x:v>19.540229885517242</x:v>
      </x:c>
      <x:c r="K51" t="str">
        <x:v>SEVERE_OVERSUPPLY</x:v>
      </x:c>
      <x:c r="L51" s="18" t="n">
        <x:v>0.1438696609608841</x:v>
      </x:c>
      <x:c r="M51" t="str">
        <x:v>laguna_muni_v1_2026-09-09</x:v>
      </x:c>
    </x:row>
    <x:row r="52">
      <x:c r="A52" t="str">
        <x:v>Tomato</x:v>
      </x:c>
      <x:c r="B52" t="str">
        <x:v>0403421</x:v>
      </x:c>
      <x:c r="C52" t="str">
        <x:v>0403421000</x:v>
      </x:c>
      <x:c r="D52" t="str">
        <x:v>Pangil</x:v>
      </x:c>
      <x:c r="E52" s="14" t="n">
        <x:v>0.006673859468441977</x:v>
      </x:c>
      <x:c r="F52" t="n">
        <x:v>0.8822</x:v>
      </x:c>
      <x:c r="G52" s="14" t="n">
        <x:v>0.01864809915975401</x:v>
      </x:c>
      <x:c r="H52" s="16" t="n">
        <x:v>24.137931034482758</x:v>
      </x:c>
      <x:c r="I52" s="16" t="n">
        <x:v>62.06896551724138</x:v>
      </x:c>
      <x:c r="J52" s="16" t="n">
        <x:v>39.94252873689655</x:v>
      </x:c>
      <x:c r="K52" t="str">
        <x:v>OVERSUPPLY_LEANING</x:v>
      </x:c>
      <x:c r="L52" s="18" t="n">
        <x:v>0.3578841688511277</x:v>
      </x:c>
      <x:c r="M52" t="str">
        <x:v>laguna_muni_v1_2026-09-09</x:v>
      </x:c>
    </x:row>
    <x:row r="53">
      <x:c r="A53" t="str">
        <x:v>Tomato</x:v>
      </x:c>
      <x:c r="B53" t="str">
        <x:v>0403422</x:v>
      </x:c>
      <x:c r="C53" t="str">
        <x:v>0403422000</x:v>
      </x:c>
      <x:c r="D53" t="str">
        <x:v>Pila</x:v>
      </x:c>
      <x:c r="E53" s="14" t="n">
        <x:v>0.015159501832278247</x:v>
      </x:c>
      <x:c r="F53" t="n">
        <x:v>0.873</x:v>
      </x:c>
      <x:c r="G53" s="14" t="n">
        <x:v>0.013484563752241406</x:v>
      </x:c>
      <x:c r="H53" s="16" t="n">
        <x:v>62.06896551724138</x:v>
      </x:c>
      <x:c r="I53" s="16" t="n">
        <x:v>75.86206896551724</x:v>
      </x:c>
      <x:c r="J53" s="16" t="n">
        <x:v>67.81609195448277</x:v>
      </x:c>
      <x:c r="K53" t="str">
        <x:v>UNDERSUPPLY_LEANING</x:v>
      </x:c>
      <x:c r="L53" s="18" t="n">
        <x:v>1.1242115140549824</x:v>
      </x:c>
      <x:c r="M53" t="str">
        <x:v>laguna_muni_v1_2026-09-09</x:v>
      </x:c>
    </x:row>
    <x:row r="54">
      <x:c r="A54" t="str">
        <x:v>Tomato</x:v>
      </x:c>
      <x:c r="B54" t="str">
        <x:v>0403423</x:v>
      </x:c>
      <x:c r="C54" t="str">
        <x:v>0403423000</x:v>
      </x:c>
      <x:c r="D54" t="str">
        <x:v>Rizal</x:v>
      </x:c>
      <x:c r="E54" s="14" t="n">
        <x:v>0.0047565134097373426</x:v>
      </x:c>
      <x:c r="F54" t="n">
        <x:v>1.1579</x:v>
      </x:c>
      <x:c r="G54" s="14" t="n">
        <x:v>0.022960830778372545</x:v>
      </x:c>
      <x:c r="H54" s="16" t="n">
        <x:v>3.4482758620689653</x:v>
      </x:c>
      <x:c r="I54" s="16" t="n">
        <x:v>58.620689655172406</x:v>
      </x:c>
      <x:c r="J54" s="16" t="n">
        <x:v>26.43678161103448</x:v>
      </x:c>
      <x:c r="K54" t="str">
        <x:v>OVERSUPPLY_LEANING</x:v>
      </x:c>
      <x:c r="L54" s="18" t="n">
        <x:v>0.20715772245565423</x:v>
      </x:c>
      <x:c r="M54" t="str">
        <x:v>laguna_muni_v1_2026-09-09</x:v>
      </x:c>
    </x:row>
    <x:row r="55">
      <x:c r="A55" t="str">
        <x:v>Tomato</x:v>
      </x:c>
      <x:c r="B55" t="str">
        <x:v>0403424</x:v>
      </x:c>
      <x:c r="C55" t="str">
        <x:v>0403424000</x:v>
      </x:c>
      <x:c r="D55" t="str">
        <x:v>San Pablo</x:v>
      </x:c>
      <x:c r="E55" s="14" t="n">
        <x:v>0.08012899906025256</x:v>
      </x:c>
      <x:c r="F55" t="n">
        <x:v>1.0142</x:v>
      </x:c>
      <x:c r="G55" s="14" t="n">
        <x:v>0.07992455236001429</x:v>
      </x:c>
      <x:c r="H55" s="16" t="n">
        <x:v>82.75862068965517</x:v>
      </x:c>
      <x:c r="I55" s="16" t="n">
        <x:v>3.4482758620689653</x:v>
      </x:c>
      <x:c r="J55" s="16" t="n">
        <x:v>49.71264367551724</x:v>
      </x:c>
      <x:c r="K55" t="str">
        <x:v>BALANCED</x:v>
      </x:c>
      <x:c r="L55" s="18" t="n">
        <x:v>1.0025579961876714</x:v>
      </x:c>
      <x:c r="M55" t="str">
        <x:v>laguna_muni_v1_2026-09-09</x:v>
      </x:c>
    </x:row>
    <x:row r="56">
      <x:c r="A56" t="str">
        <x:v>Tomato</x:v>
      </x:c>
      <x:c r="B56" t="str">
        <x:v>0403425</x:v>
      </x:c>
      <x:c r="C56" t="str">
        <x:v>0403425000</x:v>
      </x:c>
      <x:c r="D56" t="str">
        <x:v>San Pedro</x:v>
      </x:c>
      <x:c r="E56" s="14" t="n">
        <x:v>0.09592749434916523</x:v>
      </x:c>
      <x:c r="F56" t="n">
        <x:v>1.1589</x:v>
      </x:c>
      <x:c r="G56" s="14" t="n">
        <x:v>0.006455144053622245</x:v>
      </x:c>
      <x:c r="H56" s="16" t="n">
        <x:v>86.20689655172413</x:v>
      </x:c>
      <x:c r="I56" s="16" t="n">
        <x:v>100</x:v>
      </x:c>
      <x:c r="J56" s="16" t="n">
        <x:v>91.95402298896552</x:v>
      </x:c>
      <x:c r="K56" t="str">
        <x:v>HIGH_OPPORTUNITY</x:v>
      </x:c>
      <x:c r="L56" s="18" t="n">
        <x:v>14.860627981700329</x:v>
      </x:c>
      <x:c r="M56" t="str">
        <x:v>laguna_muni_v1_2026-09-09</x:v>
      </x:c>
    </x:row>
    <x:row r="57">
      <x:c r="A57" t="str">
        <x:v>Tomato</x:v>
      </x:c>
      <x:c r="B57" t="str">
        <x:v>0403426</x:v>
      </x:c>
      <x:c r="C57" t="str">
        <x:v>0403426000</x:v>
      </x:c>
      <x:c r="D57" t="str">
        <x:v>Santa Cruz</x:v>
      </x:c>
      <x:c r="E57" s="14" t="n">
        <x:v>0.03427145653978878</x:v>
      </x:c>
      <x:c r="F57" t="n">
        <x:v>1.0628</x:v>
      </x:c>
      <x:c r="G57" s="14" t="n">
        <x:v>0.013562961206014731</x:v>
      </x:c>
      <x:c r="H57" s="16" t="n">
        <x:v>79.3103448275862</x:v>
      </x:c>
      <x:c r="I57" s="16" t="n">
        <x:v>68.96551724137932</x:v>
      </x:c>
      <x:c r="J57" s="16" t="n">
        <x:v>74.99999999965519</x:v>
      </x:c>
      <x:c r="K57" t="str">
        <x:v>UNDERSUPPLY_LEANING</x:v>
      </x:c>
      <x:c r="L57" s="18" t="n">
        <x:v>2.526841743423295</x:v>
      </x:c>
      <x:c r="M57" t="str">
        <x:v>laguna_muni_v1_2026-09-09</x:v>
      </x:c>
    </x:row>
    <x:row r="58">
      <x:c r="A58" t="str">
        <x:v>Tomato</x:v>
      </x:c>
      <x:c r="B58" t="str">
        <x:v>0403427</x:v>
      </x:c>
      <x:c r="C58" t="str">
        <x:v>0403427000</x:v>
      </x:c>
      <x:c r="D58" t="str">
        <x:v>Santa Maria</x:v>
      </x:c>
      <x:c r="E58" s="14" t="n">
        <x:v>0.008491184411097202</x:v>
      </x:c>
      <x:c r="F58" t="n">
        <x:v>0.8947</x:v>
      </x:c>
      <x:c r="G58" s="14" t="n">
        <x:v>0.07537639284798649</x:v>
      </x:c>
      <x:c r="H58" s="16" t="n">
        <x:v>41.37931034482759</x:v>
      </x:c>
      <x:c r="I58" s="16" t="n">
        <x:v>6.896551724137931</x:v>
      </x:c>
      <x:c r="J58" s="16" t="n">
        <x:v>27.011494251724137</x:v>
      </x:c>
      <x:c r="K58" t="str">
        <x:v>OVERSUPPLY_LEANING</x:v>
      </x:c>
      <x:c r="L58" s="18" t="n">
        <x:v>0.11265044784275619</x:v>
      </x:c>
      <x:c r="M58" t="str">
        <x:v>laguna_muni_v1_2026-09-09</x:v>
      </x:c>
    </x:row>
    <x:row r="59">
      <x:c r="A59" t="str">
        <x:v>Tomato</x:v>
      </x:c>
      <x:c r="B59" t="str">
        <x:v>0403428</x:v>
      </x:c>
      <x:c r="C59" t="str">
        <x:v>0403428000</x:v>
      </x:c>
      <x:c r="D59" t="str">
        <x:v>Santa Rosa</x:v>
      </x:c>
      <x:c r="E59" s="14" t="n">
        <x:v>0.11921820116219989</x:v>
      </x:c>
      <x:c r="F59" t="n">
        <x:v>0.9906</x:v>
      </x:c>
      <x:c r="G59" s="14" t="n">
        <x:v>0.01055514999455592</x:v>
      </x:c>
      <x:c r="H59" s="16" t="n">
        <x:v>93.10344827586206</x:v>
      </x:c>
      <x:c r="I59" s="16" t="n">
        <x:v>82.75862068965517</x:v>
      </x:c>
      <x:c r="J59" s="16" t="n">
        <x:v>88.79310344793103</x:v>
      </x:c>
      <x:c r="K59" t="str">
        <x:v>HIGH_OPPORTUNITY</x:v>
      </x:c>
      <x:c r="L59" s="18" t="n">
        <x:v>11.294789863117968</x:v>
      </x:c>
      <x:c r="M59" t="str">
        <x:v>laguna_muni_v1_2026-09-09</x:v>
      </x:c>
    </x:row>
    <x:row r="60">
      <x:c r="A60" t="str">
        <x:v>Tomato</x:v>
      </x:c>
      <x:c r="B60" t="str">
        <x:v>0403429</x:v>
      </x:c>
      <x:c r="C60" t="str">
        <x:v>0403429000</x:v>
      </x:c>
      <x:c r="D60" t="str">
        <x:v>Siniloan</x:v>
      </x:c>
      <x:c r="E60" s="14" t="n">
        <x:v>0.010923461441461441</x:v>
      </x:c>
      <x:c r="F60" t="n">
        <x:v>0.906</x:v>
      </x:c>
      <x:c r="G60" s="14" t="n">
        <x:v>0.0357826320160412</x:v>
      </x:c>
      <x:c r="H60" s="16" t="n">
        <x:v>48.275862068965516</x:v>
      </x:c>
      <x:c r="I60" s="16" t="n">
        <x:v>34.48275862068966</x:v>
      </x:c>
      <x:c r="J60" s="16" t="n">
        <x:v>42.52873563172414</x:v>
      </x:c>
      <x:c r="K60" t="str">
        <x:v>BALANCED</x:v>
      </x:c>
      <x:c r="L60" s="18" t="n">
        <x:v>0.3052727210386453</x:v>
      </x:c>
      <x:c r="M60" t="str">
        <x:v>laguna_muni_v1_2026-09-09</x:v>
      </x:c>
    </x:row>
    <x:row r="61">
      <x:c r="A61" t="str">
        <x:v>Tomato</x:v>
      </x:c>
      <x:c r="B61" t="str">
        <x:v>0403430</x:v>
      </x:c>
      <x:c r="C61" t="str">
        <x:v>0403430000</x:v>
      </x:c>
      <x:c r="D61" t="str">
        <x:v>Victoria</x:v>
      </x:c>
      <x:c r="E61" s="14" t="n">
        <x:v>0.012169202310186875</x:v>
      </x:c>
      <x:c r="F61" t="n">
        <x:v>1.1896</x:v>
      </x:c>
      <x:c r="G61" s="14" t="n">
        <x:v>0.009427791976073832</x:v>
      </x:c>
      <x:c r="H61" s="16" t="n">
        <x:v>55.172413793103445</x:v>
      </x:c>
      <x:c r="I61" s="16" t="n">
        <x:v>86.20689655172413</x:v>
      </x:c>
      <x:c r="J61" s="16" t="n">
        <x:v>68.10344827689656</x:v>
      </x:c>
      <x:c r="K61" t="str">
        <x:v>UNDERSUPPLY_LEANING</x:v>
      </x:c>
      <x:c r="L61" s="18" t="n">
        <x:v>1.2907796800216091</x:v>
      </x:c>
      <x:c r="M61" t="str">
        <x:v>laguna_muni_v1_2026-09-09</x:v>
      </x:c>
    </x:row>
    <x:row r="62">
      <x:c r="A62" t="str">
        <x:v>Red Onion</x:v>
      </x:c>
      <x:c r="B62" t="str">
        <x:v>0403401</x:v>
      </x:c>
      <x:c r="C62" t="str">
        <x:v>0403401000</x:v>
      </x:c>
      <x:c r="D62" t="str">
        <x:v>Alaminos</x:v>
      </x:c>
      <x:c r="E62" s="14" t="n">
        <x:v>0.013909675391322093</x:v>
      </x:c>
      <x:c r="F62" t="n">
        <x:v>1.0394</x:v>
      </x:c>
      <x:c r="G62" s="14" t="n">
        <x:v>0.033376888949375516</x:v>
      </x:c>
      <x:c r="H62" s="16" t="n">
        <x:v>58.620689655172406</x:v>
      </x:c>
      <x:c r="I62" s="16" t="n">
        <x:v>27.586206896551722</x:v>
      </x:c>
      <x:c r="J62" s="16" t="n">
        <x:v>45.6896551713793</x:v>
      </x:c>
      <x:c r="K62" t="str">
        <x:v>BALANCED</x:v>
      </x:c>
      <x:c r="L62" s="18" t="n">
        <x:v>0.4167457132514546</x:v>
      </x:c>
      <x:c r="M62" t="str">
        <x:v>laguna_muni_v1_2026-09-09</x:v>
      </x:c>
    </x:row>
    <x:row r="63">
      <x:c r="A63" t="str">
        <x:v>Red Onion</x:v>
      </x:c>
      <x:c r="B63" t="str">
        <x:v>0403402</x:v>
      </x:c>
      <x:c r="C63" t="str">
        <x:v>0403402000</x:v>
      </x:c>
      <x:c r="D63" t="str">
        <x:v>Bay</x:v>
      </x:c>
      <x:c r="E63" s="14" t="n">
        <x:v>0.018865307543054568</x:v>
      </x:c>
      <x:c r="F63" t="n">
        <x:v>1.0848</x:v>
      </x:c>
      <x:c r="G63" s="14" t="n">
        <x:v>0.01534161347109599</x:v>
      </x:c>
      <x:c r="H63" s="16" t="n">
        <x:v>68.96551724137932</x:v>
      </x:c>
      <x:c r="I63" s="16" t="n">
        <x:v>65.51724137931035</x:v>
      </x:c>
      <x:c r="J63" s="16" t="n">
        <x:v>67.52873563206897</x:v>
      </x:c>
      <x:c r="K63" t="str">
        <x:v>UNDERSUPPLY_LEANING</x:v>
      </x:c>
      <x:c r="L63" s="18" t="n">
        <x:v>1.2296821047275968</x:v>
      </x:c>
      <x:c r="M63" t="str">
        <x:v>laguna_muni_v1_2026-09-09</x:v>
      </x:c>
    </x:row>
    <x:row r="64">
      <x:c r="A64" t="str">
        <x:v>Red Onion</x:v>
      </x:c>
      <x:c r="B64" t="str">
        <x:v>0403403</x:v>
      </x:c>
      <x:c r="C64" t="str">
        <x:v>0403403000</x:v>
      </x:c>
      <x:c r="D64" t="str">
        <x:v>Biñan</x:v>
      </x:c>
      <x:c r="E64" s="14" t="n">
        <x:v>0.1613783856100605</x:v>
      </x:c>
      <x:c r="F64" t="n">
        <x:v>0.8987</x:v>
      </x:c>
      <x:c r="G64" s="14" t="n">
        <x:v>0.007511830631989077</x:v>
      </x:c>
      <x:c r="H64" s="16" t="n">
        <x:v>100</x:v>
      </x:c>
      <x:c r="I64" s="16" t="n">
        <x:v>93.10344827586206</x:v>
      </x:c>
      <x:c r="J64" s="16" t="n">
        <x:v>97.12643678137931</x:v>
      </x:c>
      <x:c r="K64" t="str">
        <x:v>HIGH_OPPORTUNITY</x:v>
      </x:c>
      <x:c r="L64" s="18" t="n">
        <x:v>21.483230056177224</x:v>
      </x:c>
      <x:c r="M64" t="str">
        <x:v>laguna_muni_v1_2026-09-09</x:v>
      </x:c>
    </x:row>
    <x:row r="65">
      <x:c r="A65" t="str">
        <x:v>Red Onion</x:v>
      </x:c>
      <x:c r="B65" t="str">
        <x:v>0403404</x:v>
      </x:c>
      <x:c r="C65" t="str">
        <x:v>0403404000</x:v>
      </x:c>
      <x:c r="D65" t="str">
        <x:v>Cabuyao</x:v>
      </x:c>
      <x:c r="E65" s="14" t="n">
        <x:v>0.10103667850375411</x:v>
      </x:c>
      <x:c r="F65" t="n">
        <x:v>0.883</x:v>
      </x:c>
      <x:c r="G65" s="14" t="n">
        <x:v>0.007486729649585572</x:v>
      </x:c>
      <x:c r="H65" s="16" t="n">
        <x:v>89.65517241379311</x:v>
      </x:c>
      <x:c r="I65" s="16" t="n">
        <x:v>96.55172413793103</x:v>
      </x:c>
      <x:c r="J65" s="16" t="n">
        <x:v>92.5287356324138</x:v>
      </x:c>
      <x:c r="K65" t="str">
        <x:v>HIGH_OPPORTUNITY</x:v>
      </x:c>
      <x:c r="L65" s="18" t="n">
        <x:v>13.495435688578256</x:v>
      </x:c>
      <x:c r="M65" t="str">
        <x:v>laguna_muni_v1_2026-09-09</x:v>
      </x:c>
    </x:row>
    <x:row r="66">
      <x:c r="A66" t="str">
        <x:v>Red Onion</x:v>
      </x:c>
      <x:c r="B66" t="str">
        <x:v>0403405</x:v>
      </x:c>
      <x:c r="C66" t="str">
        <x:v>0403405000</x:v>
      </x:c>
      <x:c r="D66" t="str">
        <x:v>Calamba</x:v>
      </x:c>
      <x:c r="E66" s="14" t="n">
        <x:v>0.1580102321719133</x:v>
      </x:c>
      <x:c r="F66" t="n">
        <x:v>0.8513</x:v>
      </x:c>
      <x:c r="G66" s="14" t="n">
        <x:v>0.030005016077844372</x:v>
      </x:c>
      <x:c r="H66" s="16" t="n">
        <x:v>96.55172413793103</x:v>
      </x:c>
      <x:c r="I66" s="16" t="n">
        <x:v>41.37931034482759</x:v>
      </x:c>
      <x:c r="J66" s="16" t="n">
        <x:v>73.56321838896551</x:v>
      </x:c>
      <x:c r="K66" t="str">
        <x:v>UNDERSUPPLY_LEANING</x:v>
      </x:c>
      <x:c r="L66" s="18" t="n">
        <x:v>5.2661272289264875</x:v>
      </x:c>
      <x:c r="M66" t="str">
        <x:v>laguna_muni_v1_2026-09-09</x:v>
      </x:c>
    </x:row>
    <x:row r="67">
      <x:c r="A67" t="str">
        <x:v>Red Onion</x:v>
      </x:c>
      <x:c r="B67" t="str">
        <x:v>0403406</x:v>
      </x:c>
      <x:c r="C67" t="str">
        <x:v>0403406000</x:v>
      </x:c>
      <x:c r="D67" t="str">
        <x:v>Calauan</x:v>
      </x:c>
      <x:c r="E67" s="14" t="n">
        <x:v>0.024093603384818266</x:v>
      </x:c>
      <x:c r="F67" t="n">
        <x:v>0.803</x:v>
      </x:c>
      <x:c r="G67" s="14" t="n">
        <x:v>0.022817266823547292</x:v>
      </x:c>
      <x:c r="H67" s="16" t="n">
        <x:v>72.41379310344827</x:v>
      </x:c>
      <x:c r="I67" s="16" t="n">
        <x:v>48.275862068965516</x:v>
      </x:c>
      <x:c r="J67" s="16" t="n">
        <x:v>62.35632183827586</x:v>
      </x:c>
      <x:c r="K67" t="str">
        <x:v>UNDERSUPPLY_LEANING</x:v>
      </x:c>
      <x:c r="L67" s="18" t="n">
        <x:v>1.055937311472985</x:v>
      </x:c>
      <x:c r="M67" t="str">
        <x:v>laguna_muni_v1_2026-09-09</x:v>
      </x:c>
    </x:row>
    <x:row r="68">
      <x:c r="A68" t="str">
        <x:v>Red Onion</x:v>
      </x:c>
      <x:c r="B68" t="str">
        <x:v>0403407</x:v>
      </x:c>
      <x:c r="C68" t="str">
        <x:v>0403407000</x:v>
      </x:c>
      <x:c r="D68" t="str">
        <x:v>Cavinti</x:v>
      </x:c>
      <x:c r="E68" s="14" t="n">
        <x:v>0.006351068303993657</x:v>
      </x:c>
      <x:c r="F68" t="n">
        <x:v>1.1948</x:v>
      </x:c>
      <x:c r="G68" s="14" t="n">
        <x:v>0.15065136350710245</x:v>
      </x:c>
      <x:c r="H68" s="16" t="n">
        <x:v>17.24137931034483</x:v>
      </x:c>
      <x:c r="I68" s="16" t="n">
        <x:v>0</x:v>
      </x:c>
      <x:c r="J68" s="16" t="n">
        <x:v>10.057471263793104</x:v>
      </x:c>
      <x:c r="K68" t="str">
        <x:v>SEVERE_OVERSUPPLY</x:v>
      </x:c>
      <x:c r="L68" s="18" t="n">
        <x:v>0.04215739012341721</x:v>
      </x:c>
      <x:c r="M68" t="str">
        <x:v>laguna_muni_v1_2026-09-09</x:v>
      </x:c>
    </x:row>
    <x:row r="69">
      <x:c r="A69" t="str">
        <x:v>Red Onion</x:v>
      </x:c>
      <x:c r="B69" t="str">
        <x:v>0403408</x:v>
      </x:c>
      <x:c r="C69" t="str">
        <x:v>0403408000</x:v>
      </x:c>
      <x:c r="D69" t="str">
        <x:v>Famy</x:v>
      </x:c>
      <x:c r="E69" s="14" t="n">
        <x:v>0.004456411218566179</x:v>
      </x:c>
      <x:c r="F69" t="n">
        <x:v>0.8628</x:v>
      </x:c>
      <x:c r="G69" s="14" t="n">
        <x:v>0.03271107345518749</x:v>
      </x:c>
      <x:c r="H69" s="16" t="n">
        <x:v>0</x:v>
      </x:c>
      <x:c r="I69" s="16" t="n">
        <x:v>34.48275862068966</x:v>
      </x:c>
      <x:c r="J69" s="16" t="n">
        <x:v>14.36781609310345</x:v>
      </x:c>
      <x:c r="K69" t="str">
        <x:v>SEVERE_OVERSUPPLY</x:v>
      </x:c>
      <x:c r="L69" s="18" t="n">
        <x:v>0.13623555413646804</x:v>
      </x:c>
      <x:c r="M69" t="str">
        <x:v>laguna_muni_v1_2026-09-09</x:v>
      </x:c>
    </x:row>
    <x:row r="70">
      <x:c r="A70" t="str">
        <x:v>Red Onion</x:v>
      </x:c>
      <x:c r="B70" t="str">
        <x:v>0403409</x:v>
      </x:c>
      <x:c r="C70" t="str">
        <x:v>0403409000</x:v>
      </x:c>
      <x:c r="D70" t="str">
        <x:v>Kalayaan</x:v>
      </x:c>
      <x:c r="E70" s="14" t="n">
        <x:v>0.006983720996791543</x:v>
      </x:c>
      <x:c r="F70" t="n">
        <x:v>1.1356</x:v>
      </x:c>
      <x:c r="G70" s="14" t="n">
        <x:v>0.010362268742064841</x:v>
      </x:c>
      <x:c r="H70" s="16" t="n">
        <x:v>27.586206896551722</x:v>
      </x:c>
      <x:c r="I70" s="16" t="n">
        <x:v>86.20689655172413</x:v>
      </x:c>
      <x:c r="J70" s="16" t="n">
        <x:v>52.01149425482758</x:v>
      </x:c>
      <x:c r="K70" t="str">
        <x:v>BALANCED</x:v>
      </x:c>
      <x:c r="L70" s="18" t="n">
        <x:v>0.6739567531617531</x:v>
      </x:c>
      <x:c r="M70" t="str">
        <x:v>laguna_muni_v1_2026-09-09</x:v>
      </x:c>
    </x:row>
    <x:row r="71">
      <x:c r="A71" t="str">
        <x:v>Red Onion</x:v>
      </x:c>
      <x:c r="B71" t="str">
        <x:v>0403410</x:v>
      </x:c>
      <x:c r="C71" t="str">
        <x:v>0403410000</x:v>
      </x:c>
      <x:c r="D71" t="str">
        <x:v>Liliw</x:v>
      </x:c>
      <x:c r="E71" s="14" t="n">
        <x:v>0.009953773620843992</x:v>
      </x:c>
      <x:c r="F71" t="n">
        <x:v>1.0703</x:v>
      </x:c>
      <x:c r="G71" s="14" t="n">
        <x:v>0.03277825465762072</x:v>
      </x:c>
      <x:c r="H71" s="16" t="n">
        <x:v>44.827586206896555</x:v>
      </x:c>
      <x:c r="I71" s="16" t="n">
        <x:v>31.03448275862069</x:v>
      </x:c>
      <x:c r="J71" s="16" t="n">
        <x:v>39.08045976965518</x:v>
      </x:c>
      <x:c r="K71" t="str">
        <x:v>OVERSUPPLY_LEANING</x:v>
      </x:c>
      <x:c r="L71" s="18" t="n">
        <x:v>0.3036700313916747</x:v>
      </x:c>
      <x:c r="M71" t="str">
        <x:v>laguna_muni_v1_2026-09-09</x:v>
      </x:c>
    </x:row>
    <x:row r="72">
      <x:c r="A72" t="str">
        <x:v>Red Onion</x:v>
      </x:c>
      <x:c r="B72" t="str">
        <x:v>0403411</x:v>
      </x:c>
      <x:c r="C72" t="str">
        <x:v>0403411000</x:v>
      </x:c>
      <x:c r="D72" t="str">
        <x:v>Los Baños</x:v>
      </x:c>
      <x:c r="E72" s="14" t="n">
        <x:v>0.03220264714835558</x:v>
      </x:c>
      <x:c r="F72" t="n">
        <x:v>0.9316</x:v>
      </x:c>
      <x:c r="G72" s="14" t="n">
        <x:v>0.011493139339638912</x:v>
      </x:c>
      <x:c r="H72" s="16" t="n">
        <x:v>75.86206896551724</x:v>
      </x:c>
      <x:c r="I72" s="16" t="n">
        <x:v>82.75862068965517</x:v>
      </x:c>
      <x:c r="J72" s="16" t="n">
        <x:v>78.73563218413793</x:v>
      </x:c>
      <x:c r="K72" t="str">
        <x:v>HIGH_OPPORTUNITY</x:v>
      </x:c>
      <x:c r="L72" s="18" t="n">
        <x:v>2.801901743006912</x:v>
      </x:c>
      <x:c r="M72" t="str">
        <x:v>laguna_muni_v1_2026-09-09</x:v>
      </x:c>
    </x:row>
    <x:row r="73">
      <x:c r="A73" t="str">
        <x:v>Red Onion</x:v>
      </x:c>
      <x:c r="B73" t="str">
        <x:v>0403412</x:v>
      </x:c>
      <x:c r="C73" t="str">
        <x:v>0403412000</x:v>
      </x:c>
      <x:c r="D73" t="str">
        <x:v>Luisiana</x:v>
      </x:c>
      <x:c r="E73" s="14" t="n">
        <x:v>0.005434039311119153</x:v>
      </x:c>
      <x:c r="F73" t="n">
        <x:v>1.1489</x:v>
      </x:c>
      <x:c r="G73" s="14" t="n">
        <x:v>0.06597038082299884</x:v>
      </x:c>
      <x:c r="H73" s="16" t="n">
        <x:v>10.344827586206897</x:v>
      </x:c>
      <x:c r="I73" s="16" t="n">
        <x:v>10.344827586206897</x:v>
      </x:c>
      <x:c r="J73" s="16" t="n">
        <x:v>10.344827586206897</x:v>
      </x:c>
      <x:c r="K73" t="str">
        <x:v>SEVERE_OVERSUPPLY</x:v>
      </x:c>
      <x:c r="L73" s="18" t="n">
        <x:v>0.08237089498844787</x:v>
      </x:c>
      <x:c r="M73" t="str">
        <x:v>laguna_muni_v1_2026-09-09</x:v>
      </x:c>
    </x:row>
    <x:row r="74">
      <x:c r="A74" t="str">
        <x:v>Red Onion</x:v>
      </x:c>
      <x:c r="B74" t="str">
        <x:v>0403413</x:v>
      </x:c>
      <x:c r="C74" t="str">
        <x:v>0403413000</x:v>
      </x:c>
      <x:c r="D74" t="str">
        <x:v>Lumban</x:v>
      </x:c>
      <x:c r="E74" s="14" t="n">
        <x:v>0.00834397989490821</x:v>
      </x:c>
      <x:c r="F74" t="n">
        <x:v>0.8045</x:v>
      </x:c>
      <x:c r="G74" s="14" t="n">
        <x:v>0.021765728332138114</x:v>
      </x:c>
      <x:c r="H74" s="16" t="n">
        <x:v>37.93103448275862</x:v>
      </x:c>
      <x:c r="I74" s="16" t="n">
        <x:v>55.172413793103445</x:v>
      </x:c>
      <x:c r="J74" s="16" t="n">
        <x:v>45.11494252931034</x:v>
      </x:c>
      <x:c r="K74" t="str">
        <x:v>BALANCED</x:v>
      </x:c>
      <x:c r="L74" s="18" t="n">
        <x:v>0.3833540402407731</x:v>
      </x:c>
      <x:c r="M74" t="str">
        <x:v>laguna_muni_v1_2026-09-09</x:v>
      </x:c>
    </x:row>
    <x:row r="75">
      <x:c r="A75" t="str">
        <x:v>Red Onion</x:v>
      </x:c>
      <x:c r="B75" t="str">
        <x:v>0403414</x:v>
      </x:c>
      <x:c r="C75" t="str">
        <x:v>0403414000</x:v>
      </x:c>
      <x:c r="D75" t="str">
        <x:v>Mabitac</x:v>
      </x:c>
      <x:c r="E75" s="14" t="n">
        <x:v>0.005415115787125153</x:v>
      </x:c>
      <x:c r="F75" t="n">
        <x:v>0.9554</x:v>
      </x:c>
      <x:c r="G75" s="14" t="n">
        <x:v>0.06043452171215672</x:v>
      </x:c>
      <x:c r="H75" s="16" t="n">
        <x:v>6.896551724137931</x:v>
      </x:c>
      <x:c r="I75" s="16" t="n">
        <x:v>17.24137931034483</x:v>
      </x:c>
      <x:c r="J75" s="16" t="n">
        <x:v>11.206896552068965</x:v>
      </x:c>
      <x:c r="K75" t="str">
        <x:v>SEVERE_OVERSUPPLY</x:v>
      </x:c>
      <x:c r="L75" s="18" t="n">
        <x:v>0.08960302214215876</x:v>
      </x:c>
      <x:c r="M75" t="str">
        <x:v>laguna_muni_v1_2026-09-09</x:v>
      </x:c>
    </x:row>
    <x:row r="76">
      <x:c r="A76" t="str">
        <x:v>Red Onion</x:v>
      </x:c>
      <x:c r="B76" t="str">
        <x:v>0403415</x:v>
      </x:c>
      <x:c r="C76" t="str">
        <x:v>0403415000</x:v>
      </x:c>
      <x:c r="D76" t="str">
        <x:v>Magdalena</x:v>
      </x:c>
      <x:c r="E76" s="14" t="n">
        <x:v>0.007043356380044857</x:v>
      </x:c>
      <x:c r="F76" t="n">
        <x:v>0.9066</x:v>
      </x:c>
      <x:c r="G76" s="14" t="n">
        <x:v>0.023921479662481444</x:v>
      </x:c>
      <x:c r="H76" s="16" t="n">
        <x:v>31.03448275862069</x:v>
      </x:c>
      <x:c r="I76" s="16" t="n">
        <x:v>44.827586206896555</x:v>
      </x:c>
      <x:c r="J76" s="16" t="n">
        <x:v>36.781609195862075</x:v>
      </x:c>
      <x:c r="K76" t="str">
        <x:v>OVERSUPPLY_LEANING</x:v>
      </x:c>
      <x:c r="L76" s="18" t="n">
        <x:v>0.2944364846749714</x:v>
      </x:c>
      <x:c r="M76" t="str">
        <x:v>laguna_muni_v1_2026-09-09</x:v>
      </x:c>
    </x:row>
    <x:row r="77">
      <x:c r="A77" t="str">
        <x:v>Red Onion</x:v>
      </x:c>
      <x:c r="B77" t="str">
        <x:v>0403416</x:v>
      </x:c>
      <x:c r="C77" t="str">
        <x:v>0403416000</x:v>
      </x:c>
      <x:c r="D77" t="str">
        <x:v>Majayjay</x:v>
      </x:c>
      <x:c r="E77" s="14" t="n">
        <x:v>0.007097317472697046</x:v>
      </x:c>
      <x:c r="F77" t="n">
        <x:v>1.1873</x:v>
      </x:c>
      <x:c r="G77" s="14" t="n">
        <x:v>0.06470657823337575</x:v>
      </x:c>
      <x:c r="H77" s="16" t="n">
        <x:v>34.48275862068966</x:v>
      </x:c>
      <x:c r="I77" s="16" t="n">
        <x:v>13.793103448275861</x:v>
      </x:c>
      <x:c r="J77" s="16" t="n">
        <x:v>25.862068964827586</x:v>
      </x:c>
      <x:c r="K77" t="str">
        <x:v>OVERSUPPLY_LEANING</x:v>
      </x:c>
      <x:c r="L77" s="18" t="n">
        <x:v>0.10968463588198578</x:v>
      </x:c>
      <x:c r="M77" t="str">
        <x:v>laguna_muni_v1_2026-09-09</x:v>
      </x:c>
    </x:row>
    <x:row r="78">
      <x:c r="A78" t="str">
        <x:v>Red Onion</x:v>
      </x:c>
      <x:c r="B78" t="str">
        <x:v>0403417</x:v>
      </x:c>
      <x:c r="C78" t="str">
        <x:v>0403417000</x:v>
      </x:c>
      <x:c r="D78" t="str">
        <x:v>Nagcarlan</x:v>
      </x:c>
      <x:c r="E78" s="14" t="n">
        <x:v>0.017062504551444698</x:v>
      </x:c>
      <x:c r="F78" t="n">
        <x:v>1.0024</x:v>
      </x:c>
      <x:c r="G78" s="14" t="n">
        <x:v>0.04775223396022488</x:v>
      </x:c>
      <x:c r="H78" s="16" t="n">
        <x:v>65.51724137931035</x:v>
      </x:c>
      <x:c r="I78" s="16" t="n">
        <x:v>20.689655172413794</x:v>
      </x:c>
      <x:c r="J78" s="16" t="n">
        <x:v>46.83908045827587</x:v>
      </x:c>
      <x:c r="K78" t="str">
        <x:v>BALANCED</x:v>
      </x:c>
      <x:c r="L78" s="18" t="n">
        <x:v>0.3573132215271201</x:v>
      </x:c>
      <x:c r="M78" t="str">
        <x:v>laguna_muni_v1_2026-09-09</x:v>
      </x:c>
    </x:row>
    <x:row r="79">
      <x:c r="A79" t="str">
        <x:v>Red Onion</x:v>
      </x:c>
      <x:c r="B79" t="str">
        <x:v>0403418</x:v>
      </x:c>
      <x:c r="C79" t="str">
        <x:v>0403418000</x:v>
      </x:c>
      <x:c r="D79" t="str">
        <x:v>Paete</x:v>
      </x:c>
      <x:c r="E79" s="14" t="n">
        <x:v>0.006645111481574426</x:v>
      </x:c>
      <x:c r="F79" t="n">
        <x:v>0.8325</x:v>
      </x:c>
      <x:c r="G79" s="14" t="n">
        <x:v>0.022126744883405915</x:v>
      </x:c>
      <x:c r="H79" s="16" t="n">
        <x:v>20.689655172413794</x:v>
      </x:c>
      <x:c r="I79" s="16" t="n">
        <x:v>51.724137931034484</x:v>
      </x:c>
      <x:c r="J79" s="16" t="n">
        <x:v>33.6206896562069</x:v>
      </x:c>
      <x:c r="K79" t="str">
        <x:v>OVERSUPPLY_LEANING</x:v>
      </x:c>
      <x:c r="L79" s="18" t="n">
        <x:v>0.3003203370667489</x:v>
      </x:c>
      <x:c r="M79" t="str">
        <x:v>laguna_muni_v1_2026-09-09</x:v>
      </x:c>
    </x:row>
    <x:row r="80">
      <x:c r="A80" t="str">
        <x:v>Red Onion</x:v>
      </x:c>
      <x:c r="B80" t="str">
        <x:v>0403419</x:v>
      </x:c>
      <x:c r="C80" t="str">
        <x:v>0403419000</x:v>
      </x:c>
      <x:c r="D80" t="str">
        <x:v>Pagsanjan</x:v>
      </x:c>
      <x:c r="E80" s="14" t="n">
        <x:v>0.012028319385316677</x:v>
      </x:c>
      <x:c r="F80" t="n">
        <x:v>0.9777</x:v>
      </x:c>
      <x:c r="G80" s="14" t="n">
        <x:v>0.01257908082444834</x:v>
      </x:c>
      <x:c r="H80" s="16" t="n">
        <x:v>51.724137931034484</x:v>
      </x:c>
      <x:c r="I80" s="16" t="n">
        <x:v>72.41379310344827</x:v>
      </x:c>
      <x:c r="J80" s="16" t="n">
        <x:v>60.34482758689656</x:v>
      </x:c>
      <x:c r="K80" t="str">
        <x:v>UNDERSUPPLY_LEANING</x:v>
      </x:c>
      <x:c r="L80" s="18" t="n">
        <x:v>0.9562160823339954</x:v>
      </x:c>
      <x:c r="M80" t="str">
        <x:v>laguna_muni_v1_2026-09-09</x:v>
      </x:c>
    </x:row>
    <x:row r="81">
      <x:c r="A81" t="str">
        <x:v>Red Onion</x:v>
      </x:c>
      <x:c r="B81" t="str">
        <x:v>0403420</x:v>
      </x:c>
      <x:c r="C81" t="str">
        <x:v>0403420000</x:v>
      </x:c>
      <x:c r="D81" t="str">
        <x:v>Pakil</x:v>
      </x:c>
      <x:c r="E81" s="14" t="n">
        <x:v>0.005968877857686415</x:v>
      </x:c>
      <x:c r="F81" t="n">
        <x:v>0.8791</x:v>
      </x:c>
      <x:c r="G81" s="14" t="n">
        <x:v>0.03201804237864371</x:v>
      </x:c>
      <x:c r="H81" s="16" t="n">
        <x:v>13.793103448275861</x:v>
      </x:c>
      <x:c r="I81" s="16" t="n">
        <x:v>37.93103448275862</x:v>
      </x:c>
      <x:c r="J81" s="16" t="n">
        <x:v>23.850574713448275</x:v>
      </x:c>
      <x:c r="K81" t="str">
        <x:v>SEVERE_OVERSUPPLY</x:v>
      </x:c>
      <x:c r="L81" s="18" t="n">
        <x:v>0.18642232361050606</x:v>
      </x:c>
      <x:c r="M81" t="str">
        <x:v>laguna_muni_v1_2026-09-09</x:v>
      </x:c>
    </x:row>
    <x:row r="82">
      <x:c r="A82" t="str">
        <x:v>Red Onion</x:v>
      </x:c>
      <x:c r="B82" t="str">
        <x:v>0403421</x:v>
      </x:c>
      <x:c r="C82" t="str">
        <x:v>0403421000</x:v>
      </x:c>
      <x:c r="D82" t="str">
        <x:v>Pangil</x:v>
      </x:c>
      <x:c r="E82" s="14" t="n">
        <x:v>0.006673859468441977</x:v>
      </x:c>
      <x:c r="F82" t="n">
        <x:v>0.8466</x:v>
      </x:c>
      <x:c r="G82" s="14" t="n">
        <x:v>0.018035188751513255</x:v>
      </x:c>
      <x:c r="H82" s="16" t="n">
        <x:v>24.137931034482758</x:v>
      </x:c>
      <x:c r="I82" s="16" t="n">
        <x:v>62.06896551724138</x:v>
      </x:c>
      <x:c r="J82" s="16" t="n">
        <x:v>39.94252873689655</x:v>
      </x:c>
      <x:c r="K82" t="str">
        <x:v>OVERSUPPLY_LEANING</x:v>
      </x:c>
      <x:c r="L82" s="18" t="n">
        <x:v>0.37004655512030626</x:v>
      </x:c>
      <x:c r="M82" t="str">
        <x:v>laguna_muni_v1_2026-09-09</x:v>
      </x:c>
    </x:row>
    <x:row r="83">
      <x:c r="A83" t="str">
        <x:v>Red Onion</x:v>
      </x:c>
      <x:c r="B83" t="str">
        <x:v>0403422</x:v>
      </x:c>
      <x:c r="C83" t="str">
        <x:v>0403422000</x:v>
      </x:c>
      <x:c r="D83" t="str">
        <x:v>Pila</x:v>
      </x:c>
      <x:c r="E83" s="14" t="n">
        <x:v>0.015159501832278247</x:v>
      </x:c>
      <x:c r="F83" t="n">
        <x:v>0.8823</x:v>
      </x:c>
      <x:c r="G83" s="14" t="n">
        <x:v>0.013734531436805185</x:v>
      </x:c>
      <x:c r="H83" s="16" t="n">
        <x:v>62.06896551724138</x:v>
      </x:c>
      <x:c r="I83" s="16" t="n">
        <x:v>68.96551724137932</x:v>
      </x:c>
      <x:c r="J83" s="16" t="n">
        <x:v>64.94252873586208</x:v>
      </x:c>
      <x:c r="K83" t="str">
        <x:v>UNDERSUPPLY_LEANING</x:v>
      </x:c>
      <x:c r="L83" s="18" t="n">
        <x:v>1.1037509289654024</x:v>
      </x:c>
      <x:c r="M83" t="str">
        <x:v>laguna_muni_v1_2026-09-09</x:v>
      </x:c>
    </x:row>
    <x:row r="84">
      <x:c r="A84" t="str">
        <x:v>Red Onion</x:v>
      </x:c>
      <x:c r="B84" t="str">
        <x:v>0403423</x:v>
      </x:c>
      <x:c r="C84" t="str">
        <x:v>0403423000</x:v>
      </x:c>
      <x:c r="D84" t="str">
        <x:v>Rizal</x:v>
      </x:c>
      <x:c r="E84" s="14" t="n">
        <x:v>0.0047565134097373426</x:v>
      </x:c>
      <x:c r="F84" t="n">
        <x:v>0.9096</x:v>
      </x:c>
      <x:c r="G84" s="14" t="n">
        <x:v>0.018177824532403568</x:v>
      </x:c>
      <x:c r="H84" s="16" t="n">
        <x:v>3.4482758620689653</x:v>
      </x:c>
      <x:c r="I84" s="16" t="n">
        <x:v>58.620689655172406</x:v>
      </x:c>
      <x:c r="J84" s="16" t="n">
        <x:v>26.43678161103448</x:v>
      </x:c>
      <x:c r="K84" t="str">
        <x:v>OVERSUPPLY_LEANING</x:v>
      </x:c>
      <x:c r="L84" s="18" t="n">
        <x:v>0.26166571259715043</x:v>
      </x:c>
      <x:c r="M84" t="str">
        <x:v>laguna_muni_v1_2026-09-09</x:v>
      </x:c>
    </x:row>
    <x:row r="85">
      <x:c r="A85" t="str">
        <x:v>Red Onion</x:v>
      </x:c>
      <x:c r="B85" t="str">
        <x:v>0403424</x:v>
      </x:c>
      <x:c r="C85" t="str">
        <x:v>0403424000</x:v>
      </x:c>
      <x:c r="D85" t="str">
        <x:v>San Pablo</x:v>
      </x:c>
      <x:c r="E85" s="14" t="n">
        <x:v>0.08012899906025256</x:v>
      </x:c>
      <x:c r="F85" t="n">
        <x:v>1.0249</x:v>
      </x:c>
      <x:c r="G85" s="14" t="n">
        <x:v>0.08139786443479237</x:v>
      </x:c>
      <x:c r="H85" s="16" t="n">
        <x:v>82.75862068965517</x:v>
      </x:c>
      <x:c r="I85" s="16" t="n">
        <x:v>6.896551724137931</x:v>
      </x:c>
      <x:c r="J85" s="16" t="n">
        <x:v>51.149425284827586</x:v>
      </x:c>
      <x:c r="K85" t="str">
        <x:v>BALANCED</x:v>
      </x:c>
      <x:c r="L85" s="18" t="n">
        <x:v>0.9844115643162077</x:v>
      </x:c>
      <x:c r="M85" t="str">
        <x:v>laguna_muni_v1_2026-09-09</x:v>
      </x:c>
    </x:row>
    <x:row r="86">
      <x:c r="A86" t="str">
        <x:v>Red Onion</x:v>
      </x:c>
      <x:c r="B86" t="str">
        <x:v>0403425</x:v>
      </x:c>
      <x:c r="C86" t="str">
        <x:v>0403425000</x:v>
      </x:c>
      <x:c r="D86" t="str">
        <x:v>San Pedro</x:v>
      </x:c>
      <x:c r="E86" s="14" t="n">
        <x:v>0.09592749434916523</x:v>
      </x:c>
      <x:c r="F86" t="n">
        <x:v>0.8666</x:v>
      </x:c>
      <x:c r="G86" s="14" t="n">
        <x:v>0.004864672093196646</x:v>
      </x:c>
      <x:c r="H86" s="16" t="n">
        <x:v>86.20689655172413</x:v>
      </x:c>
      <x:c r="I86" s="16" t="n">
        <x:v>100</x:v>
      </x:c>
      <x:c r="J86" s="16" t="n">
        <x:v>91.95402298896552</x:v>
      </x:c>
      <x:c r="K86" t="str">
        <x:v>HIGH_OPPORTUNITY</x:v>
      </x:c>
      <x:c r="L86" s="18" t="n">
        <x:v>19.719210773388404</x:v>
      </x:c>
      <x:c r="M86" t="str">
        <x:v>laguna_muni_v1_2026-09-09</x:v>
      </x:c>
    </x:row>
    <x:row r="87">
      <x:c r="A87" t="str">
        <x:v>Red Onion</x:v>
      </x:c>
      <x:c r="B87" t="str">
        <x:v>0403426</x:v>
      </x:c>
      <x:c r="C87" t="str">
        <x:v>0403426000</x:v>
      </x:c>
      <x:c r="D87" t="str">
        <x:v>Santa Cruz</x:v>
      </x:c>
      <x:c r="E87" s="14" t="n">
        <x:v>0.03427145653978878</x:v>
      </x:c>
      <x:c r="F87" t="n">
        <x:v>0.9449</x:v>
      </x:c>
      <x:c r="G87" s="14" t="n">
        <x:v>0.012152446957182796</x:v>
      </x:c>
      <x:c r="H87" s="16" t="n">
        <x:v>79.3103448275862</x:v>
      </x:c>
      <x:c r="I87" s="16" t="n">
        <x:v>75.86206896551724</x:v>
      </x:c>
      <x:c r="J87" s="16" t="n">
        <x:v>77.87356321827588</x:v>
      </x:c>
      <x:c r="K87" t="str">
        <x:v>HIGH_OPPORTUNITY</x:v>
      </x:c>
      <x:c r="L87" s="18" t="n">
        <x:v>2.820128049975349</x:v>
      </x:c>
      <x:c r="M87" t="str">
        <x:v>laguna_muni_v1_2026-09-09</x:v>
      </x:c>
    </x:row>
    <x:row r="88">
      <x:c r="A88" t="str">
        <x:v>Red Onion</x:v>
      </x:c>
      <x:c r="B88" t="str">
        <x:v>0403427</x:v>
      </x:c>
      <x:c r="C88" t="str">
        <x:v>0403427000</x:v>
      </x:c>
      <x:c r="D88" t="str">
        <x:v>Santa Maria</x:v>
      </x:c>
      <x:c r="E88" s="14" t="n">
        <x:v>0.008491184411097202</x:v>
      </x:c>
      <x:c r="F88" t="n">
        <x:v>1.007</x:v>
      </x:c>
      <x:c r="G88" s="14" t="n">
        <x:v>0.08549924799439049</x:v>
      </x:c>
      <x:c r="H88" s="16" t="n">
        <x:v>41.37931034482759</x:v>
      </x:c>
      <x:c r="I88" s="16" t="n">
        <x:v>3.4482758620689653</x:v>
      </x:c>
      <x:c r="J88" s="16" t="n">
        <x:v>25.574712642413793</x:v>
      </x:c>
      <x:c r="K88" t="str">
        <x:v>OVERSUPPLY_LEANING</x:v>
      </x:c>
      <x:c r="L88" s="18" t="n">
        <x:v>0.09931297187145201</x:v>
      </x:c>
      <x:c r="M88" t="str">
        <x:v>laguna_muni_v1_2026-09-09</x:v>
      </x:c>
    </x:row>
    <x:row r="89">
      <x:c r="A89" t="str">
        <x:v>Red Onion</x:v>
      </x:c>
      <x:c r="B89" t="str">
        <x:v>0403428</x:v>
      </x:c>
      <x:c r="C89" t="str">
        <x:v>0403428000</x:v>
      </x:c>
      <x:c r="D89" t="str">
        <x:v>Santa Rosa</x:v>
      </x:c>
      <x:c r="E89" s="14" t="n">
        <x:v>0.11921820116219989</x:v>
      </x:c>
      <x:c r="F89" t="n">
        <x:v>1.0968</x:v>
      </x:c>
      <x:c r="G89" s="14" t="n">
        <x:v>0.011777915623801224</x:v>
      </x:c>
      <x:c r="H89" s="16" t="n">
        <x:v>93.10344827586206</x:v>
      </x:c>
      <x:c r="I89" s="16" t="n">
        <x:v>79.3103448275862</x:v>
      </x:c>
      <x:c r="J89" s="16" t="n">
        <x:v>87.35632183862069</x:v>
      </x:c>
      <x:c r="K89" t="str">
        <x:v>HIGH_OPPORTUNITY</x:v>
      </x:c>
      <x:c r="L89" s="18" t="n">
        <x:v>10.122181629598328</x:v>
      </x:c>
      <x:c r="M89" t="str">
        <x:v>laguna_muni_v1_2026-09-09</x:v>
      </x:c>
    </x:row>
    <x:row r="90">
      <x:c r="A90" t="str">
        <x:v>Red Onion</x:v>
      </x:c>
      <x:c r="B90" t="str">
        <x:v>0403429</x:v>
      </x:c>
      <x:c r="C90" t="str">
        <x:v>0403429000</x:v>
      </x:c>
      <x:c r="D90" t="str">
        <x:v>Siniloan</x:v>
      </x:c>
      <x:c r="E90" s="14" t="n">
        <x:v>0.010923461441461441</x:v>
      </x:c>
      <x:c r="F90" t="n">
        <x:v>0.9984</x:v>
      </x:c>
      <x:c r="G90" s="14" t="n">
        <x:v>0.039739607032300034</x:v>
      </x:c>
      <x:c r="H90" s="16" t="n">
        <x:v>48.275862068965516</x:v>
      </x:c>
      <x:c r="I90" s="16" t="n">
        <x:v>24.137931034482758</x:v>
      </x:c>
      <x:c r="J90" s="16" t="n">
        <x:v>38.2183908037931</x:v>
      </x:c>
      <x:c r="K90" t="str">
        <x:v>OVERSUPPLY_LEANING</x:v>
      </x:c>
      <x:c r="L90" s="18" t="n">
        <x:v>0.27487593001568783</x:v>
      </x:c>
      <x:c r="M90" t="str">
        <x:v>laguna_muni_v1_2026-09-09</x:v>
      </x:c>
    </x:row>
    <x:row r="91">
      <x:c r="A91" t="str">
        <x:v>Red Onion</x:v>
      </x:c>
      <x:c r="B91" t="str">
        <x:v>0403430</x:v>
      </x:c>
      <x:c r="C91" t="str">
        <x:v>0403430000</x:v>
      </x:c>
      <x:c r="D91" t="str">
        <x:v>Victoria</x:v>
      </x:c>
      <x:c r="E91" s="14" t="n">
        <x:v>0.012169202310186875</x:v>
      </x:c>
      <x:c r="F91" t="n">
        <x:v>1.1031</x:v>
      </x:c>
      <x:c r="G91" s="14" t="n">
        <x:v>0.008810465028688414</x:v>
      </x:c>
      <x:c r="H91" s="16" t="n">
        <x:v>55.172413793103445</x:v>
      </x:c>
      <x:c r="I91" s="16" t="n">
        <x:v>89.65517241379311</x:v>
      </x:c>
      <x:c r="J91" s="16" t="n">
        <x:v>69.5402298862069</x:v>
      </x:c>
      <x:c r="K91" t="str">
        <x:v>UNDERSUPPLY_LEANING</x:v>
      </x:c>
      <x:c r="L91" s="18" t="n">
        <x:v>1.3812213396865913</x:v>
      </x:c>
      <x:c r="M91" t="str">
        <x:v>laguna_muni_v1_2026-09-09</x:v>
      </x:c>
    </x:row>
    <x:row r="92">
      <x:c r="A92" t="str">
        <x:v>Banana</x:v>
      </x:c>
      <x:c r="B92" t="str">
        <x:v>0403401</x:v>
      </x:c>
      <x:c r="C92" t="str">
        <x:v>0403401000</x:v>
      </x:c>
      <x:c r="D92" t="str">
        <x:v>Alaminos</x:v>
      </x:c>
      <x:c r="E92" s="14" t="n">
        <x:v>0.013909675391322093</x:v>
      </x:c>
      <x:c r="F92" t="n">
        <x:v>0.966</x:v>
      </x:c>
      <x:c r="G92" s="14" t="n">
        <x:v>0.03335097950191756</x:v>
      </x:c>
      <x:c r="H92" s="16" t="n">
        <x:v>58.620689655172406</x:v>
      </x:c>
      <x:c r="I92" s="16" t="n">
        <x:v>37.93103448275862</x:v>
      </x:c>
      <x:c r="J92" s="16" t="n">
        <x:v>49.99999999931034</x:v>
      </x:c>
      <x:c r="K92" t="str">
        <x:v>BALANCED</x:v>
      </x:c>
      <x:c r="L92" s="18" t="n">
        <x:v>0.41706947139355643</x:v>
      </x:c>
      <x:c r="M92" t="str">
        <x:v>laguna_muni_v1_2026-09-09</x:v>
      </x:c>
    </x:row>
    <x:row r="93">
      <x:c r="A93" t="str">
        <x:v>Banana</x:v>
      </x:c>
      <x:c r="B93" t="str">
        <x:v>0403402</x:v>
      </x:c>
      <x:c r="C93" t="str">
        <x:v>0403402000</x:v>
      </x:c>
      <x:c r="D93" t="str">
        <x:v>Bay</x:v>
      </x:c>
      <x:c r="E93" s="14" t="n">
        <x:v>0.018865307543054568</x:v>
      </x:c>
      <x:c r="F93" t="n">
        <x:v>1.167</x:v>
      </x:c>
      <x:c r="G93" s="14" t="n">
        <x:v>0.017744368251389836</x:v>
      </x:c>
      <x:c r="H93" s="16" t="n">
        <x:v>68.96551724137932</x:v>
      </x:c>
      <x:c r="I93" s="16" t="n">
        <x:v>68.96551724137932</x:v>
      </x:c>
      <x:c r="J93" s="16" t="n">
        <x:v>68.96551724137932</x:v>
      </x:c>
      <x:c r="K93" t="str">
        <x:v>UNDERSUPPLY_LEANING</x:v>
      </x:c>
      <x:c r="L93" s="18" t="n">
        <x:v>1.0631715525615815</x:v>
      </x:c>
      <x:c r="M93" t="str">
        <x:v>laguna_muni_v1_2026-09-09</x:v>
      </x:c>
    </x:row>
    <x:row r="94">
      <x:c r="A94" t="str">
        <x:v>Banana</x:v>
      </x:c>
      <x:c r="B94" t="str">
        <x:v>0403403</x:v>
      </x:c>
      <x:c r="C94" t="str">
        <x:v>0403403000</x:v>
      </x:c>
      <x:c r="D94" t="str">
        <x:v>Biñan</x:v>
      </x:c>
      <x:c r="E94" s="14" t="n">
        <x:v>0.1613783856100605</x:v>
      </x:c>
      <x:c r="F94" t="n">
        <x:v>0.9916</x:v>
      </x:c>
      <x:c r="G94" s="14" t="n">
        <x:v>0.00891119381637697</x:v>
      </x:c>
      <x:c r="H94" s="16" t="n">
        <x:v>100</x:v>
      </x:c>
      <x:c r="I94" s="16" t="n">
        <x:v>96.55172413793103</x:v>
      </x:c>
      <x:c r="J94" s="16" t="n">
        <x:v>98.56321839068966</x:v>
      </x:c>
      <x:c r="K94" t="str">
        <x:v>HIGH_OPPORTUNITY</x:v>
      </x:c>
      <x:c r="L94" s="18" t="n">
        <x:v>18.10962581842622</x:v>
      </x:c>
      <x:c r="M94" t="str">
        <x:v>laguna_muni_v1_2026-09-09</x:v>
      </x:c>
    </x:row>
    <x:row r="95">
      <x:c r="A95" t="str">
        <x:v>Banana</x:v>
      </x:c>
      <x:c r="B95" t="str">
        <x:v>0403404</x:v>
      </x:c>
      <x:c r="C95" t="str">
        <x:v>0403404000</x:v>
      </x:c>
      <x:c r="D95" t="str">
        <x:v>Cabuyao</x:v>
      </x:c>
      <x:c r="E95" s="14" t="n">
        <x:v>0.10103667850375411</x:v>
      </x:c>
      <x:c r="F95" t="n">
        <x:v>1.0737</x:v>
      </x:c>
      <x:c r="G95" s="14" t="n">
        <x:v>0.009787746800952998</x:v>
      </x:c>
      <x:c r="H95" s="16" t="n">
        <x:v>89.65517241379311</x:v>
      </x:c>
      <x:c r="I95" s="16" t="n">
        <x:v>86.20689655172413</x:v>
      </x:c>
      <x:c r="J95" s="16" t="n">
        <x:v>88.21839080448277</x:v>
      </x:c>
      <x:c r="K95" t="str">
        <x:v>HIGH_OPPORTUNITY</x:v>
      </x:c>
      <x:c r="L95" s="18" t="n">
        <x:v>10.322771988126679</x:v>
      </x:c>
      <x:c r="M95" t="str">
        <x:v>laguna_muni_v1_2026-09-09</x:v>
      </x:c>
    </x:row>
    <x:row r="96">
      <x:c r="A96" t="str">
        <x:v>Banana</x:v>
      </x:c>
      <x:c r="B96" t="str">
        <x:v>0403405</x:v>
      </x:c>
      <x:c r="C96" t="str">
        <x:v>0403405000</x:v>
      </x:c>
      <x:c r="D96" t="str">
        <x:v>Calamba</x:v>
      </x:c>
      <x:c r="E96" s="14" t="n">
        <x:v>0.1580102321719133</x:v>
      </x:c>
      <x:c r="F96" t="n">
        <x:v>1.1354</x:v>
      </x:c>
      <x:c r="G96" s="14" t="n">
        <x:v>0.04302574966727968</x:v>
      </x:c>
      <x:c r="H96" s="16" t="n">
        <x:v>96.55172413793103</x:v>
      </x:c>
      <x:c r="I96" s="16" t="n">
        <x:v>24.137931034482758</x:v>
      </x:c>
      <x:c r="J96" s="16" t="n">
        <x:v>66.37931034241379</x:v>
      </x:c>
      <x:c r="K96" t="str">
        <x:v>UNDERSUPPLY_LEANING</x:v>
      </x:c>
      <x:c r="L96" s="18" t="n">
        <x:v>3.672457386421259</x:v>
      </x:c>
      <x:c r="M96" t="str">
        <x:v>laguna_muni_v1_2026-09-09</x:v>
      </x:c>
    </x:row>
    <x:row r="97">
      <x:c r="A97" t="str">
        <x:v>Banana</x:v>
      </x:c>
      <x:c r="B97" t="str">
        <x:v>0403406</x:v>
      </x:c>
      <x:c r="C97" t="str">
        <x:v>0403406000</x:v>
      </x:c>
      <x:c r="D97" t="str">
        <x:v>Calauan</x:v>
      </x:c>
      <x:c r="E97" s="14" t="n">
        <x:v>0.024093603384818266</x:v>
      </x:c>
      <x:c r="F97" t="n">
        <x:v>0.9801</x:v>
      </x:c>
      <x:c r="G97" s="14" t="n">
        <x:v>0.02994241261184485</x:v>
      </x:c>
      <x:c r="H97" s="16" t="n">
        <x:v>72.41379310344827</x:v>
      </x:c>
      <x:c r="I97" s="16" t="n">
        <x:v>44.827586206896555</x:v>
      </x:c>
      <x:c r="J97" s="16" t="n">
        <x:v>60.919540228965516</x:v>
      </x:c>
      <x:c r="K97" t="str">
        <x:v>UNDERSUPPLY_LEANING</x:v>
      </x:c>
      <x:c r="L97" s="18" t="n">
        <x:v>0.8046647308335846</x:v>
      </x:c>
      <x:c r="M97" t="str">
        <x:v>laguna_muni_v1_2026-09-09</x:v>
      </x:c>
    </x:row>
    <x:row r="98">
      <x:c r="A98" t="str">
        <x:v>Banana</x:v>
      </x:c>
      <x:c r="B98" t="str">
        <x:v>0403407</x:v>
      </x:c>
      <x:c r="C98" t="str">
        <x:v>0403407000</x:v>
      </x:c>
      <x:c r="D98" t="str">
        <x:v>Cavinti</x:v>
      </x:c>
      <x:c r="E98" s="14" t="n">
        <x:v>0.006351068303993657</x:v>
      </x:c>
      <x:c r="F98" t="n">
        <x:v>0.8278</x:v>
      </x:c>
      <x:c r="G98" s="14" t="n">
        <x:v>0.11222034528170674</x:v>
      </x:c>
      <x:c r="H98" s="16" t="n">
        <x:v>17.24137931034483</x:v>
      </x:c>
      <x:c r="I98" s="16" t="n">
        <x:v>0</x:v>
      </x:c>
      <x:c r="J98" s="16" t="n">
        <x:v>10.057471263793104</x:v>
      </x:c>
      <x:c r="K98" t="str">
        <x:v>SEVERE_OVERSUPPLY</x:v>
      </x:c>
      <x:c r="L98" s="18" t="n">
        <x:v>0.05659462451350127</x:v>
      </x:c>
      <x:c r="M98" t="str">
        <x:v>laguna_muni_v1_2026-09-09</x:v>
      </x:c>
    </x:row>
    <x:row r="99">
      <x:c r="A99" t="str">
        <x:v>Banana</x:v>
      </x:c>
      <x:c r="B99" t="str">
        <x:v>0403408</x:v>
      </x:c>
      <x:c r="C99" t="str">
        <x:v>0403408000</x:v>
      </x:c>
      <x:c r="D99" t="str">
        <x:v>Famy</x:v>
      </x:c>
      <x:c r="E99" s="14" t="n">
        <x:v>0.004456411218566179</x:v>
      </x:c>
      <x:c r="F99" t="n">
        <x:v>0.858</x:v>
      </x:c>
      <x:c r="G99" s="14" t="n">
        <x:v>0.03497359475318065</x:v>
      </x:c>
      <x:c r="H99" s="16" t="n">
        <x:v>0</x:v>
      </x:c>
      <x:c r="I99" s="16" t="n">
        <x:v>34.48275862068966</x:v>
      </x:c>
      <x:c r="J99" s="16" t="n">
        <x:v>14.36781609310345</x:v>
      </x:c>
      <x:c r="K99" t="str">
        <x:v>SEVERE_OVERSUPPLY</x:v>
      </x:c>
      <x:c r="L99" s="18" t="n">
        <x:v>0.12742216663790026</x:v>
      </x:c>
      <x:c r="M99" t="str">
        <x:v>laguna_muni_v1_2026-09-09</x:v>
      </x:c>
    </x:row>
    <x:row r="100">
      <x:c r="A100" t="str">
        <x:v>Banana</x:v>
      </x:c>
      <x:c r="B100" t="str">
        <x:v>0403409</x:v>
      </x:c>
      <x:c r="C100" t="str">
        <x:v>0403409000</x:v>
      </x:c>
      <x:c r="D100" t="str">
        <x:v>Kalayaan</x:v>
      </x:c>
      <x:c r="E100" s="14" t="n">
        <x:v>0.006983720996791543</x:v>
      </x:c>
      <x:c r="F100" t="n">
        <x:v>0.9467</x:v>
      </x:c>
      <x:c r="G100" s="14" t="n">
        <x:v>0.009287742589946328</x:v>
      </x:c>
      <x:c r="H100" s="16" t="n">
        <x:v>27.586206896551722</x:v>
      </x:c>
      <x:c r="I100" s="16" t="n">
        <x:v>93.10344827586206</x:v>
      </x:c>
      <x:c r="J100" s="16" t="n">
        <x:v>54.88505747344827</x:v>
      </x:c>
      <x:c r="K100" t="str">
        <x:v>BALANCED</x:v>
      </x:c>
      <x:c r="L100" s="18" t="n">
        <x:v>0.7519287845413791</x:v>
      </x:c>
      <x:c r="M100" t="str">
        <x:v>laguna_muni_v1_2026-09-09</x:v>
      </x:c>
    </x:row>
    <x:row r="101">
      <x:c r="A101" t="str">
        <x:v>Banana</x:v>
      </x:c>
      <x:c r="B101" t="str">
        <x:v>0403410</x:v>
      </x:c>
      <x:c r="C101" t="str">
        <x:v>0403410000</x:v>
      </x:c>
      <x:c r="D101" t="str">
        <x:v>Liliw</x:v>
      </x:c>
      <x:c r="E101" s="14" t="n">
        <x:v>0.009953773620843992</x:v>
      </x:c>
      <x:c r="F101" t="n">
        <x:v>0.9833</x:v>
      </x:c>
      <x:c r="G101" s="14" t="n">
        <x:v>0.0323768553142535</x:v>
      </x:c>
      <x:c r="H101" s="16" t="n">
        <x:v>44.827586206896555</x:v>
      </x:c>
      <x:c r="I101" s="16" t="n">
        <x:v>41.37931034482759</x:v>
      </x:c>
      <x:c r="J101" s="16" t="n">
        <x:v>43.39080459758621</x:v>
      </x:c>
      <x:c r="K101" t="str">
        <x:v>BALANCED</x:v>
      </x:c>
      <x:c r="L101" s="18" t="n">
        <x:v>0.30743484888299105</x:v>
      </x:c>
      <x:c r="M101" t="str">
        <x:v>laguna_muni_v1_2026-09-09</x:v>
      </x:c>
    </x:row>
    <x:row r="102">
      <x:c r="A102" t="str">
        <x:v>Banana</x:v>
      </x:c>
      <x:c r="B102" t="str">
        <x:v>0403411</x:v>
      </x:c>
      <x:c r="C102" t="str">
        <x:v>0403411000</x:v>
      </x:c>
      <x:c r="D102" t="str">
        <x:v>Los Baños</x:v>
      </x:c>
      <x:c r="E102" s="14" t="n">
        <x:v>0.03220264714835558</x:v>
      </x:c>
      <x:c r="F102" t="n">
        <x:v>0.9117</x:v>
      </x:c>
      <x:c r="G102" s="14" t="n">
        <x:v>0.012092872465141218</x:v>
      </x:c>
      <x:c r="H102" s="16" t="n">
        <x:v>75.86206896551724</x:v>
      </x:c>
      <x:c r="I102" s="16" t="n">
        <x:v>79.3103448275862</x:v>
      </x:c>
      <x:c r="J102" s="16" t="n">
        <x:v>77.29885057482758</x:v>
      </x:c>
      <x:c r="K102" t="str">
        <x:v>HIGH_OPPORTUNITY</x:v>
      </x:c>
      <x:c r="L102" s="18" t="n">
        <x:v>2.6629444113615337</x:v>
      </x:c>
      <x:c r="M102" t="str">
        <x:v>laguna_muni_v1_2026-09-09</x:v>
      </x:c>
    </x:row>
    <x:row r="103">
      <x:c r="A103" t="str">
        <x:v>Banana</x:v>
      </x:c>
      <x:c r="B103" t="str">
        <x:v>0403412</x:v>
      </x:c>
      <x:c r="C103" t="str">
        <x:v>0403412000</x:v>
      </x:c>
      <x:c r="D103" t="str">
        <x:v>Luisiana</x:v>
      </x:c>
      <x:c r="E103" s="14" t="n">
        <x:v>0.005434039311119153</x:v>
      </x:c>
      <x:c r="F103" t="n">
        <x:v>0.852</x:v>
      </x:c>
      <x:c r="G103" s="14" t="n">
        <x:v>0.05259866023853888</x:v>
      </x:c>
      <x:c r="H103" s="16" t="n">
        <x:v>10.344827586206897</x:v>
      </x:c>
      <x:c r="I103" s="16" t="n">
        <x:v>13.793103448275861</x:v>
      </x:c>
      <x:c r="J103" s="16" t="n">
        <x:v>11.781609195517241</x:v>
      </x:c>
      <x:c r="K103" t="str">
        <x:v>SEVERE_OVERSUPPLY</x:v>
      </x:c>
      <x:c r="L103" s="18" t="n">
        <x:v>0.10331136356848969</x:v>
      </x:c>
      <x:c r="M103" t="str">
        <x:v>laguna_muni_v1_2026-09-09</x:v>
      </x:c>
    </x:row>
    <x:row r="104">
      <x:c r="A104" t="str">
        <x:v>Banana</x:v>
      </x:c>
      <x:c r="B104" t="str">
        <x:v>0403413</x:v>
      </x:c>
      <x:c r="C104" t="str">
        <x:v>0403413000</x:v>
      </x:c>
      <x:c r="D104" t="str">
        <x:v>Lumban</x:v>
      </x:c>
      <x:c r="E104" s="14" t="n">
        <x:v>0.00834397989490821</x:v>
      </x:c>
      <x:c r="F104" t="n">
        <x:v>0.8563</x:v>
      </x:c>
      <x:c r="G104" s="14" t="n">
        <x:v>0.024908147313877072</x:v>
      </x:c>
      <x:c r="H104" s="16" t="n">
        <x:v>37.93103448275862</x:v>
      </x:c>
      <x:c r="I104" s="16" t="n">
        <x:v>51.724137931034484</x:v>
      </x:c>
      <x:c r="J104" s="16" t="n">
        <x:v>43.67816092</x:v>
      </x:c>
      <x:c r="K104" t="str">
        <x:v>BALANCED</x:v>
      </x:c>
      <x:c r="L104" s="18" t="n">
        <x:v>0.33498998499416816</x:v>
      </x:c>
      <x:c r="M104" t="str">
        <x:v>laguna_muni_v1_2026-09-09</x:v>
      </x:c>
    </x:row>
    <x:row r="105">
      <x:c r="A105" t="str">
        <x:v>Banana</x:v>
      </x:c>
      <x:c r="B105" t="str">
        <x:v>0403414</x:v>
      </x:c>
      <x:c r="C105" t="str">
        <x:v>0403414000</x:v>
      </x:c>
      <x:c r="D105" t="str">
        <x:v>Mabitac</x:v>
      </x:c>
      <x:c r="E105" s="14" t="n">
        <x:v>0.005415115787125153</x:v>
      </x:c>
      <x:c r="F105" t="n">
        <x:v>1.173</x:v>
      </x:c>
      <x:c r="G105" s="14" t="n">
        <x:v>0.07977488564565584</x:v>
      </x:c>
      <x:c r="H105" s="16" t="n">
        <x:v>6.896551724137931</x:v>
      </x:c>
      <x:c r="I105" s="16" t="n">
        <x:v>6.896551724137931</x:v>
      </x:c>
      <x:c r="J105" s="16" t="n">
        <x:v>6.896551724137931</x:v>
      </x:c>
      <x:c r="K105" t="str">
        <x:v>SEVERE_OVERSUPPLY</x:v>
      </x:c>
      <x:c r="L105" s="18" t="n">
        <x:v>0.06787995674701458</x:v>
      </x:c>
      <x:c r="M105" t="str">
        <x:v>laguna_muni_v1_2026-09-09</x:v>
      </x:c>
    </x:row>
    <x:row r="106">
      <x:c r="A106" t="str">
        <x:v>Banana</x:v>
      </x:c>
      <x:c r="B106" t="str">
        <x:v>0403415</x:v>
      </x:c>
      <x:c r="C106" t="str">
        <x:v>0403415000</x:v>
      </x:c>
      <x:c r="D106" t="str">
        <x:v>Magdalena</x:v>
      </x:c>
      <x:c r="E106" s="14" t="n">
        <x:v>0.007043356380044857</x:v>
      </x:c>
      <x:c r="F106" t="n">
        <x:v>0.8328</x:v>
      </x:c>
      <x:c r="G106" s="14" t="n">
        <x:v>0.023625519500429976</x:v>
      </x:c>
      <x:c r="H106" s="16" t="n">
        <x:v>31.03448275862069</x:v>
      </x:c>
      <x:c r="I106" s="16" t="n">
        <x:v>58.620689655172406</x:v>
      </x:c>
      <x:c r="J106" s="16" t="n">
        <x:v>42.52873563310345</x:v>
      </x:c>
      <x:c r="K106" t="str">
        <x:v>BALANCED</x:v>
      </x:c>
      <x:c r="L106" s="18" t="n">
        <x:v>0.29812493138687046</x:v>
      </x:c>
      <x:c r="M106" t="str">
        <x:v>laguna_muni_v1_2026-09-09</x:v>
      </x:c>
    </x:row>
    <x:row r="107">
      <x:c r="A107" t="str">
        <x:v>Banana</x:v>
      </x:c>
      <x:c r="B107" t="str">
        <x:v>0403416</x:v>
      </x:c>
      <x:c r="C107" t="str">
        <x:v>0403416000</x:v>
      </x:c>
      <x:c r="D107" t="str">
        <x:v>Majayjay</x:v>
      </x:c>
      <x:c r="E107" s="14" t="n">
        <x:v>0.007097317472697046</x:v>
      </x:c>
      <x:c r="F107" t="n">
        <x:v>0.8473</x:v>
      </x:c>
      <x:c r="G107" s="14" t="n">
        <x:v>0.04964705579469799</x:v>
      </x:c>
      <x:c r="H107" s="16" t="n">
        <x:v>34.48275862068966</x:v>
      </x:c>
      <x:c r="I107" s="16" t="n">
        <x:v>17.24137931034483</x:v>
      </x:c>
      <x:c r="J107" s="16" t="n">
        <x:v>27.298850574137933</x:v>
      </x:c>
      <x:c r="K107" t="str">
        <x:v>OVERSUPPLY_LEANING</x:v>
      </x:c>
      <x:c r="L107" s="18" t="n">
        <x:v>0.1429554554462623</x:v>
      </x:c>
      <x:c r="M107" t="str">
        <x:v>laguna_muni_v1_2026-09-09</x:v>
      </x:c>
    </x:row>
    <x:row r="108">
      <x:c r="A108" t="str">
        <x:v>Banana</x:v>
      </x:c>
      <x:c r="B108" t="str">
        <x:v>0403417</x:v>
      </x:c>
      <x:c r="C108" t="str">
        <x:v>0403417000</x:v>
      </x:c>
      <x:c r="D108" t="str">
        <x:v>Nagcarlan</x:v>
      </x:c>
      <x:c r="E108" s="14" t="n">
        <x:v>0.017062504551444698</x:v>
      </x:c>
      <x:c r="F108" t="n">
        <x:v>0.8794</x:v>
      </x:c>
      <x:c r="G108" s="14" t="n">
        <x:v>0.045040937629270285</x:v>
      </x:c>
      <x:c r="H108" s="16" t="n">
        <x:v>65.51724137931035</x:v>
      </x:c>
      <x:c r="I108" s="16" t="n">
        <x:v>20.689655172413794</x:v>
      </x:c>
      <x:c r="J108" s="16" t="n">
        <x:v>46.83908045827587</x:v>
      </x:c>
      <x:c r="K108" t="str">
        <x:v>BALANCED</x:v>
      </x:c>
      <x:c r="L108" s="18" t="n">
        <x:v>0.37882214379916607</x:v>
      </x:c>
      <x:c r="M108" t="str">
        <x:v>laguna_muni_v1_2026-09-09</x:v>
      </x:c>
    </x:row>
    <x:row r="109">
      <x:c r="A109" t="str">
        <x:v>Banana</x:v>
      </x:c>
      <x:c r="B109" t="str">
        <x:v>0403418</x:v>
      </x:c>
      <x:c r="C109" t="str">
        <x:v>0403418000</x:v>
      </x:c>
      <x:c r="D109" t="str">
        <x:v>Paete</x:v>
      </x:c>
      <x:c r="E109" s="14" t="n">
        <x:v>0.006645111481574426</x:v>
      </x:c>
      <x:c r="F109" t="n">
        <x:v>0.906</x:v>
      </x:c>
      <x:c r="G109" s="14" t="n">
        <x:v>0.025889866428851962</x:v>
      </x:c>
      <x:c r="H109" s="16" t="n">
        <x:v>20.689655172413794</x:v>
      </x:c>
      <x:c r="I109" s="16" t="n">
        <x:v>48.275862068965516</x:v>
      </x:c>
      <x:c r="J109" s="16" t="n">
        <x:v>32.18390804689655</x:v>
      </x:c>
      <x:c r="K109" t="str">
        <x:v>OVERSUPPLY_LEANING</x:v>
      </x:c>
      <x:c r="L109" s="18" t="n">
        <x:v>0.2566684343403579</x:v>
      </x:c>
      <x:c r="M109" t="str">
        <x:v>laguna_muni_v1_2026-09-09</x:v>
      </x:c>
    </x:row>
    <x:row r="110">
      <x:c r="A110" t="str">
        <x:v>Banana</x:v>
      </x:c>
      <x:c r="B110" t="str">
        <x:v>0403419</x:v>
      </x:c>
      <x:c r="C110" t="str">
        <x:v>0403419000</x:v>
      </x:c>
      <x:c r="D110" t="str">
        <x:v>Pagsanjan</x:v>
      </x:c>
      <x:c r="E110" s="14" t="n">
        <x:v>0.012028319385316677</x:v>
      </x:c>
      <x:c r="F110" t="n">
        <x:v>1.1068</x:v>
      </x:c>
      <x:c r="G110" s="14" t="n">
        <x:v>0.015310196638721494</x:v>
      </x:c>
      <x:c r="H110" s="16" t="n">
        <x:v>51.724137931034484</x:v>
      </x:c>
      <x:c r="I110" s="16" t="n">
        <x:v>72.41379310344827</x:v>
      </x:c>
      <x:c r="J110" s="16" t="n">
        <x:v>60.34482758689656</x:v>
      </x:c>
      <x:c r="K110" t="str">
        <x:v>UNDERSUPPLY_LEANING</x:v>
      </x:c>
      <x:c r="L110" s="18" t="n">
        <x:v>0.7856410775871736</x:v>
      </x:c>
      <x:c r="M110" t="str">
        <x:v>laguna_muni_v1_2026-09-09</x:v>
      </x:c>
    </x:row>
    <x:row r="111">
      <x:c r="A111" t="str">
        <x:v>Banana</x:v>
      </x:c>
      <x:c r="B111" t="str">
        <x:v>0403420</x:v>
      </x:c>
      <x:c r="C111" t="str">
        <x:v>0403420000</x:v>
      </x:c>
      <x:c r="D111" t="str">
        <x:v>Pakil</x:v>
      </x:c>
      <x:c r="E111" s="14" t="n">
        <x:v>0.005968877857686415</x:v>
      </x:c>
      <x:c r="F111" t="n">
        <x:v>0.9549</x:v>
      </x:c>
      <x:c r="G111" s="14" t="n">
        <x:v>0.037392346040526436</x:v>
      </x:c>
      <x:c r="H111" s="16" t="n">
        <x:v>13.793103448275861</x:v>
      </x:c>
      <x:c r="I111" s="16" t="n">
        <x:v>31.03448275862069</x:v>
      </x:c>
      <x:c r="J111" s="16" t="n">
        <x:v>20.977011494827586</x:v>
      </x:c>
      <x:c r="K111" t="str">
        <x:v>SEVERE_OVERSUPPLY</x:v>
      </x:c>
      <x:c r="L111" s="18" t="n">
        <x:v>0.15962833279348793</x:v>
      </x:c>
      <x:c r="M111" t="str">
        <x:v>laguna_muni_v1_2026-09-09</x:v>
      </x:c>
    </x:row>
    <x:row r="112">
      <x:c r="A112" t="str">
        <x:v>Banana</x:v>
      </x:c>
      <x:c r="B112" t="str">
        <x:v>0403421</x:v>
      </x:c>
      <x:c r="C112" t="str">
        <x:v>0403421000</x:v>
      </x:c>
      <x:c r="D112" t="str">
        <x:v>Pangil</x:v>
      </x:c>
      <x:c r="E112" s="14" t="n">
        <x:v>0.006673859468441977</x:v>
      </x:c>
      <x:c r="F112" t="n">
        <x:v>1.0381</x:v>
      </x:c>
      <x:c r="G112" s="14" t="n">
        <x:v>0.02377661056444618</x:v>
      </x:c>
      <x:c r="H112" s="16" t="n">
        <x:v>24.137931034482758</x:v>
      </x:c>
      <x:c r="I112" s="16" t="n">
        <x:v>55.172413793103445</x:v>
      </x:c>
      <x:c r="J112" s="16" t="n">
        <x:v>37.06896551827586</x:v>
      </x:c>
      <x:c r="K112" t="str">
        <x:v>OVERSUPPLY_LEANING</x:v>
      </x:c>
      <x:c r="L112" s="18" t="n">
        <x:v>0.28069011141653566</x:v>
      </x:c>
      <x:c r="M112" t="str">
        <x:v>laguna_muni_v1_2026-09-09</x:v>
      </x:c>
    </x:row>
    <x:row r="113">
      <x:c r="A113" t="str">
        <x:v>Banana</x:v>
      </x:c>
      <x:c r="B113" t="str">
        <x:v>0403422</x:v>
      </x:c>
      <x:c r="C113" t="str">
        <x:v>0403422000</x:v>
      </x:c>
      <x:c r="D113" t="str">
        <x:v>Pila</x:v>
      </x:c>
      <x:c r="E113" s="14" t="n">
        <x:v>0.015159501832278247</x:v>
      </x:c>
      <x:c r="F113" t="n">
        <x:v>1.1204</x:v>
      </x:c>
      <x:c r="G113" s="14" t="n">
        <x:v>0.018751628676592573</x:v>
      </x:c>
      <x:c r="H113" s="16" t="n">
        <x:v>62.06896551724138</x:v>
      </x:c>
      <x:c r="I113" s="16" t="n">
        <x:v>65.51724137931035</x:v>
      </x:c>
      <x:c r="J113" s="16" t="n">
        <x:v>63.50574712655173</x:v>
      </x:c>
      <x:c r="K113" t="str">
        <x:v>UNDERSUPPLY_LEANING</x:v>
      </x:c>
      <x:c r="L113" s="18" t="n">
        <x:v>0.808436541365693</x:v>
      </x:c>
      <x:c r="M113" t="str">
        <x:v>laguna_muni_v1_2026-09-09</x:v>
      </x:c>
    </x:row>
    <x:row r="114">
      <x:c r="A114" t="str">
        <x:v>Banana</x:v>
      </x:c>
      <x:c r="B114" t="str">
        <x:v>0403423</x:v>
      </x:c>
      <x:c r="C114" t="str">
        <x:v>0403423000</x:v>
      </x:c>
      <x:c r="D114" t="str">
        <x:v>Rizal</x:v>
      </x:c>
      <x:c r="E114" s="14" t="n">
        <x:v>0.0047565134097373426</x:v>
      </x:c>
      <x:c r="F114" t="n">
        <x:v>0.9215</x:v>
      </x:c>
      <x:c r="G114" s="14" t="n">
        <x:v>0.01979954091637927</x:v>
      </x:c>
      <x:c r="H114" s="16" t="n">
        <x:v>3.4482758620689653</x:v>
      </x:c>
      <x:c r="I114" s="16" t="n">
        <x:v>62.06896551724138</x:v>
      </x:c>
      <x:c r="J114" s="16" t="n">
        <x:v>27.873563220344828</x:v>
      </x:c>
      <x:c r="K114" t="str">
        <x:v>OVERSUPPLY_LEANING</x:v>
      </x:c>
      <x:c r="L114" s="18" t="n">
        <x:v>0.2402335200510883</x:v>
      </x:c>
      <x:c r="M114" t="str">
        <x:v>laguna_muni_v1_2026-09-09</x:v>
      </x:c>
    </x:row>
    <x:row r="115">
      <x:c r="A115" t="str">
        <x:v>Banana</x:v>
      </x:c>
      <x:c r="B115" t="str">
        <x:v>0403424</x:v>
      </x:c>
      <x:c r="C115" t="str">
        <x:v>0403424000</x:v>
      </x:c>
      <x:c r="D115" t="str">
        <x:v>San Pablo</x:v>
      </x:c>
      <x:c r="E115" s="14" t="n">
        <x:v>0.08012899906025256</x:v>
      </x:c>
      <x:c r="F115" t="n">
        <x:v>0.9078</x:v>
      </x:c>
      <x:c r="G115" s="14" t="n">
        <x:v>0.07751576222406158</x:v>
      </x:c>
      <x:c r="H115" s="16" t="n">
        <x:v>82.75862068965517</x:v>
      </x:c>
      <x:c r="I115" s="16" t="n">
        <x:v>10.344827586206897</x:v>
      </x:c>
      <x:c r="J115" s="16" t="n">
        <x:v>52.58620689413793</x:v>
      </x:c>
      <x:c r="K115" t="str">
        <x:v>BALANCED</x:v>
      </x:c>
      <x:c r="L115" s="18" t="n">
        <x:v>1.033712328450533</x:v>
      </x:c>
      <x:c r="M115" t="str">
        <x:v>laguna_muni_v1_2026-09-09</x:v>
      </x:c>
    </x:row>
    <x:row r="116">
      <x:c r="A116" t="str">
        <x:v>Banana</x:v>
      </x:c>
      <x:c r="B116" t="str">
        <x:v>0403425</x:v>
      </x:c>
      <x:c r="C116" t="str">
        <x:v>0403425000</x:v>
      </x:c>
      <x:c r="D116" t="str">
        <x:v>San Pedro</x:v>
      </x:c>
      <x:c r="E116" s="14" t="n">
        <x:v>0.09592749434916523</x:v>
      </x:c>
      <x:c r="F116" t="n">
        <x:v>1.1886</x:v>
      </x:c>
      <x:c r="G116" s="14" t="n">
        <x:v>0.007173629433026646</x:v>
      </x:c>
      <x:c r="H116" s="16" t="n">
        <x:v>86.20689655172413</x:v>
      </x:c>
      <x:c r="I116" s="16" t="n">
        <x:v>100</x:v>
      </x:c>
      <x:c r="J116" s="16" t="n">
        <x:v>91.95402298896552</x:v>
      </x:c>
      <x:c r="K116" t="str">
        <x:v>HIGH_OPPORTUNITY</x:v>
      </x:c>
      <x:c r="L116" s="18" t="n">
        <x:v>13.372239986013913</x:v>
      </x:c>
      <x:c r="M116" t="str">
        <x:v>laguna_muni_v1_2026-09-09</x:v>
      </x:c>
    </x:row>
    <x:row r="117">
      <x:c r="A117" t="str">
        <x:v>Banana</x:v>
      </x:c>
      <x:c r="B117" t="str">
        <x:v>0403426</x:v>
      </x:c>
      <x:c r="C117" t="str">
        <x:v>0403426000</x:v>
      </x:c>
      <x:c r="D117" t="str">
        <x:v>Santa Cruz</x:v>
      </x:c>
      <x:c r="E117" s="14" t="n">
        <x:v>0.03427145653978878</x:v>
      </x:c>
      <x:c r="F117" t="n">
        <x:v>0.8873</x:v>
      </x:c>
      <x:c r="G117" s="14" t="n">
        <x:v>0.01226921261400954</x:v>
      </x:c>
      <x:c r="H117" s="16" t="n">
        <x:v>79.3103448275862</x:v>
      </x:c>
      <x:c r="I117" s="16" t="n">
        <x:v>75.86206896551724</x:v>
      </x:c>
      <x:c r="J117" s="16" t="n">
        <x:v>77.87356321827588</x:v>
      </x:c>
      <x:c r="K117" t="str">
        <x:v>HIGH_OPPORTUNITY</x:v>
      </x:c>
      <x:c r="L117" s="18" t="n">
        <x:v>2.793288992372346</x:v>
      </x:c>
      <x:c r="M117" t="str">
        <x:v>laguna_muni_v1_2026-09-09</x:v>
      </x:c>
    </x:row>
    <x:row r="118">
      <x:c r="A118" t="str">
        <x:v>Banana</x:v>
      </x:c>
      <x:c r="B118" t="str">
        <x:v>0403427</x:v>
      </x:c>
      <x:c r="C118" t="str">
        <x:v>0403427000</x:v>
      </x:c>
      <x:c r="D118" t="str">
        <x:v>Santa Maria</x:v>
      </x:c>
      <x:c r="E118" s="14" t="n">
        <x:v>0.008491184411097202</x:v>
      </x:c>
      <x:c r="F118" t="n">
        <x:v>0.8885</x:v>
      </x:c>
      <x:c r="G118" s="14" t="n">
        <x:v>0.0811070456319727</x:v>
      </x:c>
      <x:c r="H118" s="16" t="n">
        <x:v>41.37931034482759</x:v>
      </x:c>
      <x:c r="I118" s="16" t="n">
        <x:v>3.4482758620689653</x:v>
      </x:c>
      <x:c r="J118" s="16" t="n">
        <x:v>25.574712642413793</x:v>
      </x:c>
      <x:c r="K118" t="str">
        <x:v>OVERSUPPLY_LEANING</x:v>
      </x:c>
      <x:c r="L118" s="18" t="n">
        <x:v>0.10469108256792362</x:v>
      </x:c>
      <x:c r="M118" t="str">
        <x:v>laguna_muni_v1_2026-09-09</x:v>
      </x:c>
    </x:row>
    <x:row r="119">
      <x:c r="A119" t="str">
        <x:v>Banana</x:v>
      </x:c>
      <x:c r="B119" t="str">
        <x:v>0403428</x:v>
      </x:c>
      <x:c r="C119" t="str">
        <x:v>0403428000</x:v>
      </x:c>
      <x:c r="D119" t="str">
        <x:v>Santa Rosa</x:v>
      </x:c>
      <x:c r="E119" s="14" t="n">
        <x:v>0.11921820116219989</x:v>
      </x:c>
      <x:c r="F119" t="n">
        <x:v>0.97</x:v>
      </x:c>
      <x:c r="G119" s="14" t="n">
        <x:v>0.011199046734368378</x:v>
      </x:c>
      <x:c r="H119" s="16" t="n">
        <x:v>93.10344827586206</x:v>
      </x:c>
      <x:c r="I119" s="16" t="n">
        <x:v>82.75862068965517</x:v>
      </x:c>
      <x:c r="J119" s="16" t="n">
        <x:v>88.79310344793103</x:v>
      </x:c>
      <x:c r="K119" t="str">
        <x:v>HIGH_OPPORTUNITY</x:v>
      </x:c>
      <x:c r="L119" s="18" t="n">
        <x:v>10.645388307590071</x:v>
      </x:c>
      <x:c r="M119" t="str">
        <x:v>laguna_muni_v1_2026-09-09</x:v>
      </x:c>
    </x:row>
    <x:row r="120">
      <x:c r="A120" t="str">
        <x:v>Banana</x:v>
      </x:c>
      <x:c r="B120" t="str">
        <x:v>0403429</x:v>
      </x:c>
      <x:c r="C120" t="str">
        <x:v>0403429000</x:v>
      </x:c>
      <x:c r="D120" t="str">
        <x:v>Siniloan</x:v>
      </x:c>
      <x:c r="E120" s="14" t="n">
        <x:v>0.010923461441461441</x:v>
      </x:c>
      <x:c r="F120" t="n">
        <x:v>0.9555</x:v>
      </x:c>
      <x:c r="G120" s="14" t="n">
        <x:v>0.04089008497390114</x:v>
      </x:c>
      <x:c r="H120" s="16" t="n">
        <x:v>48.275862068965516</x:v>
      </x:c>
      <x:c r="I120" s="16" t="n">
        <x:v>27.586206896551722</x:v>
      </x:c>
      <x:c r="J120" s="16" t="n">
        <x:v>39.65517241310344</x:v>
      </x:c>
      <x:c r="K120" t="str">
        <x:v>OVERSUPPLY_LEANING</x:v>
      </x:c>
      <x:c r="L120" s="18" t="n">
        <x:v>0.26714205774904953</x:v>
      </x:c>
      <x:c r="M120" t="str">
        <x:v>laguna_muni_v1_2026-09-09</x:v>
      </x:c>
    </x:row>
    <x:row r="121">
      <x:c r="A121" t="str">
        <x:v>Banana</x:v>
      </x:c>
      <x:c r="B121" t="str">
        <x:v>0403430</x:v>
      </x:c>
      <x:c r="C121" t="str">
        <x:v>0403430000</x:v>
      </x:c>
      <x:c r="D121" t="str">
        <x:v>Victoria</x:v>
      </x:c>
      <x:c r="E121" s="14" t="n">
        <x:v>0.012169202310186875</x:v>
      </x:c>
      <x:c r="F121" t="n">
        <x:v>1.1198</x:v>
      </x:c>
      <x:c r="G121" s="14" t="n">
        <x:v>0.009615961946681763</x:v>
      </x:c>
      <x:c r="H121" s="16" t="n">
        <x:v>55.172413793103445</x:v>
      </x:c>
      <x:c r="I121" s="16" t="n">
        <x:v>89.65517241379311</x:v>
      </x:c>
      <x:c r="J121" s="16" t="n">
        <x:v>69.5402298862069</x:v>
      </x:c>
      <x:c r="K121" t="str">
        <x:v>UNDERSUPPLY_LEANING</x:v>
      </x:c>
      <x:c r="L121" s="18" t="n">
        <x:v>1.2655210552685447</x:v>
      </x:c>
      <x:c r="M121" t="str">
        <x:v>laguna_muni_v1_2026-09-09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7" max="7" width="40" hidden="0" customWidth="1"/>
    <x:col min="8" max="8" width="40" hidden="0" customWidth="1"/>
    <x:col min="9" max="9" width="40" hidden="0" customWidth="1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commodity</x:v>
      </x:c>
      <x:c r="B1" s="5" t="str">
        <x:v>year</x:v>
      </x:c>
      <x:c r="C1" s="5" t="str">
        <x:v>quarter</x:v>
      </x:c>
      <x:c r="D1" s="5" t="str">
        <x:v>provincial_demand_mt</x:v>
      </x:c>
      <x:c r="E1" s="5" t="str">
        <x:v>provincial_supply_mt</x:v>
      </x:c>
      <x:c r="F1" s="5" t="str">
        <x:v>annual_demand_2026_mt_reference</x:v>
      </x:c>
      <x:c r="G1" s="5" t="str">
        <x:v>demand_status</x:v>
      </x:c>
      <x:c r="H1" s="5" t="str">
        <x:v>supply_status</x:v>
      </x:c>
      <x:c r="I1" s="5" t="str">
        <x:v>notes</x:v>
      </x:c>
    </x:row>
    <x:row r="2">
      <x:c r="A2" t="str">
        <x:v>Rice</x:v>
      </x:c>
      <x:c r="B2" t="n">
        <x:v>2026</x:v>
      </x:c>
      <x:c r="C2" t="str">
        <x:v>Q3</x:v>
      </x:c>
      <x:c r="D2" s="18"/>
      <x:c r="E2" s="18"/>
      <x:c r="F2" s="18"/>
      <x:c r="G2" t="str">
        <x:v>No physical MT control in handoff</x:v>
      </x:c>
      <x:c r="H2" t="str">
        <x:v>Not provided</x:v>
      </x:c>
      <x:c r="I2" t="str">
        <x:v>Do not use demand-pressure index as MT.</x:v>
      </x:c>
    </x:row>
    <x:row r="3">
      <x:c r="A3" t="str">
        <x:v>Tomato</x:v>
      </x:c>
      <x:c r="B3" t="n">
        <x:v>2026</x:v>
      </x:c>
      <x:c r="C3" t="str">
        <x:v>Q3</x:v>
      </x:c>
      <x:c r="D3" s="18"/>
      <x:c r="E3" s="18" t="n">
        <x:v>797.77</x:v>
      </x:c>
      <x:c r="F3" s="18" t="n">
        <x:v>5632.95</x:v>
      </x:c>
      <x:c r="G3" t="str">
        <x:v>Q3 physical MT exists in project; exact value absent from handoff</x:v>
      </x:c>
      <x:c r="H3" t="str">
        <x:v>Provided</x:v>
      </x:c>
      <x:c r="I3" t="str">
        <x:v>Annual demand is reference only; do not divide by four.</x:v>
      </x:c>
    </x:row>
    <x:row r="4">
      <x:c r="A4" t="str">
        <x:v>Red Onion</x:v>
      </x:c>
      <x:c r="B4" t="n">
        <x:v>2026</x:v>
      </x:c>
      <x:c r="C4" t="str">
        <x:v>Q3</x:v>
      </x:c>
      <x:c r="D4" s="18"/>
      <x:c r="E4" s="18"/>
      <x:c r="F4" s="18"/>
      <x:c r="G4" t="str">
        <x:v>No physical MT control in handoff</x:v>
      </x:c>
      <x:c r="H4" t="str">
        <x:v>Not provided</x:v>
      </x:c>
      <x:c r="I4" t="str">
        <x:v>Weights remain reusable.</x:v>
      </x:c>
    </x:row>
    <x:row r="5">
      <x:c r="A5" t="str">
        <x:v>Banana</x:v>
      </x:c>
      <x:c r="B5" t="n">
        <x:v>2026</x:v>
      </x:c>
      <x:c r="C5" t="str">
        <x:v>Q3</x:v>
      </x:c>
      <x:c r="D5" s="18"/>
      <x:c r="E5" s="18" t="n">
        <x:v>6188.95</x:v>
      </x:c>
      <x:c r="F5" s="18" t="n">
        <x:v>134917.542</x:v>
      </x:c>
      <x:c r="G5" t="str">
        <x:v>Q3 physical MT exists in project; exact value absent from handoff</x:v>
      </x:c>
      <x:c r="H5" t="str">
        <x:v>Provided</x:v>
      </x:c>
      <x:c r="I5" t="str">
        <x:v>Annual demand is reference only; do not divide by four.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5" max="5" width="20" hidden="0" customWidth="1"/>
    <x:col min="15" max="15" width="28" hidden="0" customWidth="1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5" t="str">
        <x:v>commodity</x:v>
      </x:c>
      <x:c r="B1" s="5" t="str">
        <x:v>year</x:v>
      </x:c>
      <x:c r="C1" s="5" t="str">
        <x:v>quarter</x:v>
      </x:c>
      <x:c r="D1" s="5" t="str">
        <x:v>psgc_code</x:v>
      </x:c>
      <x:c r="E1" s="5" t="str">
        <x:v>municipality</x:v>
      </x:c>
      <x:c r="F1" s="5" t="str">
        <x:v>demand_weight</x:v>
      </x:c>
      <x:c r="G1" s="5" t="str">
        <x:v>supply_weight</x:v>
      </x:c>
      <x:c r="H1" s="5" t="str">
        <x:v>provincial_demand_mt</x:v>
      </x:c>
      <x:c r="I1" s="5" t="str">
        <x:v>provincial_supply_mt</x:v>
      </x:c>
      <x:c r="J1" s="5" t="str">
        <x:v>municipality_demand_mt</x:v>
      </x:c>
      <x:c r="K1" s="5" t="str">
        <x:v>municipality_supply_mt</x:v>
      </x:c>
      <x:c r="L1" s="5" t="str">
        <x:v>demand_supply_gap_mt</x:v>
      </x:c>
      <x:c r="M1" s="5" t="str">
        <x:v>demand_supply_ratio</x:v>
      </x:c>
      <x:c r="N1" s="5" t="str">
        <x:v>municipal_opportunity_score_v1</x:v>
      </x:c>
      <x:c r="O1" s="5" t="str">
        <x:v>municipal_opportunity_classification_v1</x:v>
      </x:c>
    </x:row>
    <x:row r="2">
      <x:c r="A2" t="str">
        <x:v>Rice</x:v>
      </x:c>
      <x:c r="B2" t="n">
        <x:v>2026</x:v>
      </x:c>
      <x:c r="C2" t="str">
        <x:v>Q3</x:v>
      </x:c>
      <x:c r="D2" t="str">
        <x:v>0403401</x:v>
      </x:c>
      <x:c r="E2" t="str">
        <x:v>Alaminos</x:v>
      </x:c>
      <x:c r="F2" s="14" t="n">
        <x:f>'Commodity Benchmark'!E2</x:f>
        <x:v>0.013909675391322093</x:v>
      </x:c>
      <x:c r="G2" s="14" t="n">
        <x:f>'Commodity Benchmark'!G2</x:f>
        <x:v>0.0277459906817334</x:v>
      </x:c>
      <x:c r="H2" s="18" t="n">
        <x:f>'Provincial Inputs'!D2</x:f>
        <x:v>0</x:v>
      </x:c>
      <x:c r="I2" s="18" t="n">
        <x:f>'Provincial Inputs'!E2</x:f>
        <x:v>0</x:v>
      </x:c>
      <x:c r="J2" s="18" t="str">
        <x:f>IF(H2="","",H2*F2)</x:f>
      </x:c>
      <x:c r="K2" s="18" t="str">
        <x:f>IF(I2="","",I2*G2)</x:f>
      </x:c>
      <x:c r="L2" s="18" t="str">
        <x:f>IF(OR(J2="",K2=""),"",J2-K2)</x:f>
      </x:c>
      <x:c r="M2" s="18" t="str">
        <x:f>IFERROR(J2/K2,"")</x:f>
      </x:c>
      <x:c r="N2" s="16" t="n">
        <x:f>'Commodity Benchmark'!J2</x:f>
        <x:v>54.31034482724137</x:v>
      </x:c>
      <x:c r="O2" t="str">
        <x:f>'Commodity Benchmark'!K2</x:f>
        <x:v>BALANCED</x:v>
      </x:c>
    </x:row>
    <x:row r="3">
      <x:c r="A3" t="str">
        <x:v>Rice</x:v>
      </x:c>
      <x:c r="B3" t="n">
        <x:v>2026</x:v>
      </x:c>
      <x:c r="C3" t="str">
        <x:v>Q3</x:v>
      </x:c>
      <x:c r="D3" t="str">
        <x:v>0403402</x:v>
      </x:c>
      <x:c r="E3" t="str">
        <x:v>Bay</x:v>
      </x:c>
      <x:c r="F3" s="14" t="n">
        <x:f>'Commodity Benchmark'!E3</x:f>
        <x:v>0.018865307543054568</x:v>
      </x:c>
      <x:c r="G3" s="14" t="n">
        <x:f>'Commodity Benchmark'!G3</x:f>
        <x:v>0.012628813613960557</x:v>
      </x:c>
      <x:c r="H3" s="18" t="n">
        <x:f>'Provincial Inputs'!D2</x:f>
        <x:v>0</x:v>
      </x:c>
      <x:c r="I3" s="18" t="n">
        <x:f>'Provincial Inputs'!E2</x:f>
        <x:v>0</x:v>
      </x:c>
      <x:c r="J3" s="18" t="str">
        <x:f>IF(H3="","",H3*F3)</x:f>
      </x:c>
      <x:c r="K3" s="18" t="str">
        <x:f>IF(I3="","",I3*G3)</x:f>
      </x:c>
      <x:c r="L3" s="18" t="str">
        <x:f>IF(OR(J3="",K3=""),"",J3-K3)</x:f>
      </x:c>
      <x:c r="M3" s="18" t="str">
        <x:f>IFERROR(J3/K3,"")</x:f>
      </x:c>
      <x:c r="N3" s="16" t="n">
        <x:f>'Commodity Benchmark'!J3</x:f>
        <x:v>74.7126436786207</x:v>
      </x:c>
      <x:c r="O3" t="str">
        <x:f>'Commodity Benchmark'!K3</x:f>
        <x:v>UNDERSUPPLY_LEANING</x:v>
      </x:c>
    </x:row>
    <x:row r="4">
      <x:c r="A4" t="str">
        <x:v>Rice</x:v>
      </x:c>
      <x:c r="B4" t="n">
        <x:v>2026</x:v>
      </x:c>
      <x:c r="C4" t="str">
        <x:v>Q3</x:v>
      </x:c>
      <x:c r="D4" t="str">
        <x:v>0403403</x:v>
      </x:c>
      <x:c r="E4" t="str">
        <x:v>Biñan</x:v>
      </x:c>
      <x:c r="F4" s="14" t="n">
        <x:f>'Commodity Benchmark'!E4</x:f>
        <x:v>0.1613783856100605</x:v>
      </x:c>
      <x:c r="G4" s="14" t="n">
        <x:f>'Commodity Benchmark'!G4</x:f>
        <x:v>0.010294323149521636</x:v>
      </x:c>
      <x:c r="H4" s="18" t="n">
        <x:f>'Provincial Inputs'!D2</x:f>
        <x:v>0</x:v>
      </x:c>
      <x:c r="I4" s="18" t="n">
        <x:f>'Provincial Inputs'!E2</x:f>
        <x:v>0</x:v>
      </x:c>
      <x:c r="J4" s="18" t="str">
        <x:f>IF(H4="","",H4*F4)</x:f>
      </x:c>
      <x:c r="K4" s="18" t="str">
        <x:f>IF(I4="","",I4*G4)</x:f>
      </x:c>
      <x:c r="L4" s="18" t="str">
        <x:f>IF(OR(J4="",K4=""),"",J4-K4)</x:f>
      </x:c>
      <x:c r="M4" s="18" t="str">
        <x:f>IFERROR(J4/K4,"")</x:f>
      </x:c>
      <x:c r="N4" s="16" t="n">
        <x:f>'Commodity Benchmark'!J4</x:f>
        <x:v>95.68965517206897</x:v>
      </x:c>
      <x:c r="O4" t="str">
        <x:f>'Commodity Benchmark'!K4</x:f>
        <x:v>HIGH_OPPORTUNITY</x:v>
      </x:c>
    </x:row>
    <x:row r="5">
      <x:c r="A5" t="str">
        <x:v>Rice</x:v>
      </x:c>
      <x:c r="B5" t="n">
        <x:v>2026</x:v>
      </x:c>
      <x:c r="C5" t="str">
        <x:v>Q3</x:v>
      </x:c>
      <x:c r="D5" t="str">
        <x:v>0403404</x:v>
      </x:c>
      <x:c r="E5" t="str">
        <x:v>Cabuyao</x:v>
      </x:c>
      <x:c r="F5" s="14" t="n">
        <x:f>'Commodity Benchmark'!E5</x:f>
        <x:v>0.10103667850375411</x:v>
      </x:c>
      <x:c r="G5" s="14" t="n">
        <x:f>'Commodity Benchmark'!G5</x:f>
        <x:v>0.008910909502997545</x:v>
      </x:c>
      <x:c r="H5" s="18" t="n">
        <x:f>'Provincial Inputs'!D2</x:f>
        <x:v>0</x:v>
      </x:c>
      <x:c r="I5" s="18" t="n">
        <x:f>'Provincial Inputs'!E2</x:f>
        <x:v>0</x:v>
      </x:c>
      <x:c r="J5" s="18" t="str">
        <x:f>IF(H5="","",H5*F5)</x:f>
      </x:c>
      <x:c r="K5" s="18" t="str">
        <x:f>IF(I5="","",I5*G5)</x:f>
      </x:c>
      <x:c r="L5" s="18" t="str">
        <x:f>IF(OR(J5="",K5=""),"",J5-K5)</x:f>
      </x:c>
      <x:c r="M5" s="18" t="str">
        <x:f>IFERROR(J5/K5,"")</x:f>
      </x:c>
      <x:c r="N5" s="16" t="n">
        <x:f>'Commodity Benchmark'!J5</x:f>
        <x:v>91.09195402310345</x:v>
      </x:c>
      <x:c r="O5" t="str">
        <x:f>'Commodity Benchmark'!K5</x:f>
        <x:v>HIGH_OPPORTUNITY</x:v>
      </x:c>
    </x:row>
    <x:row r="6">
      <x:c r="A6" t="str">
        <x:v>Rice</x:v>
      </x:c>
      <x:c r="B6" t="n">
        <x:v>2026</x:v>
      </x:c>
      <x:c r="C6" t="str">
        <x:v>Q3</x:v>
      </x:c>
      <x:c r="D6" t="str">
        <x:v>0403405</x:v>
      </x:c>
      <x:c r="E6" t="str">
        <x:v>Calamba</x:v>
      </x:c>
      <x:c r="F6" s="14" t="n">
        <x:f>'Commodity Benchmark'!E6</x:f>
        <x:v>0.1580102321719133</x:v>
      </x:c>
      <x:c r="G6" s="14" t="n">
        <x:f>'Commodity Benchmark'!G6</x:f>
        <x:v>0.03601923241768134</x:v>
      </x:c>
      <x:c r="H6" s="18" t="n">
        <x:f>'Provincial Inputs'!D2</x:f>
        <x:v>0</x:v>
      </x:c>
      <x:c r="I6" s="18" t="n">
        <x:f>'Provincial Inputs'!E2</x:f>
        <x:v>0</x:v>
      </x:c>
      <x:c r="J6" s="18" t="str">
        <x:f>IF(H6="","",H6*F6)</x:f>
      </x:c>
      <x:c r="K6" s="18" t="str">
        <x:f>IF(I6="","",I6*G6)</x:f>
      </x:c>
      <x:c r="L6" s="18" t="str">
        <x:f>IF(OR(J6="",K6=""),"",J6-K6)</x:f>
      </x:c>
      <x:c r="M6" s="18" t="str">
        <x:f>IFERROR(J6/K6,"")</x:f>
      </x:c>
      <x:c r="N6" s="16" t="n">
        <x:f>'Commodity Benchmark'!J6</x:f>
        <x:v>67.81609195172413</x:v>
      </x:c>
      <x:c r="O6" t="str">
        <x:f>'Commodity Benchmark'!K6</x:f>
        <x:v>UNDERSUPPLY_LEANING</x:v>
      </x:c>
    </x:row>
    <x:row r="7">
      <x:c r="A7" t="str">
        <x:v>Rice</x:v>
      </x:c>
      <x:c r="B7" t="n">
        <x:v>2026</x:v>
      </x:c>
      <x:c r="C7" t="str">
        <x:v>Q3</x:v>
      </x:c>
      <x:c r="D7" t="str">
        <x:v>0403406</x:v>
      </x:c>
      <x:c r="E7" t="str">
        <x:v>Calauan</x:v>
      </x:c>
      <x:c r="F7" s="14" t="n">
        <x:f>'Commodity Benchmark'!E7</x:f>
        <x:v>0.024093603384818266</x:v>
      </x:c>
      <x:c r="G7" s="14" t="n">
        <x:f>'Commodity Benchmark'!G7</x:f>
        <x:v>0.02688906162996762</x:v>
      </x:c>
      <x:c r="H7" s="18" t="n">
        <x:f>'Provincial Inputs'!D2</x:f>
        <x:v>0</x:v>
      </x:c>
      <x:c r="I7" s="18" t="n">
        <x:f>'Provincial Inputs'!E2</x:f>
        <x:v>0</x:v>
      </x:c>
      <x:c r="J7" s="18" t="str">
        <x:f>IF(H7="","",H7*F7)</x:f>
      </x:c>
      <x:c r="K7" s="18" t="str">
        <x:f>IF(I7="","",I7*G7)</x:f>
      </x:c>
      <x:c r="L7" s="18" t="str">
        <x:f>IF(OR(J7="",K7=""),"",J7-K7)</x:f>
      </x:c>
      <x:c r="M7" s="18" t="str">
        <x:f>IFERROR(J7/K7,"")</x:f>
      </x:c>
      <x:c r="N7" s="16" t="n">
        <x:f>'Commodity Benchmark'!J7</x:f>
        <x:v>63.793103447586205</x:v>
      </x:c>
      <x:c r="O7" t="str">
        <x:f>'Commodity Benchmark'!K7</x:f>
        <x:v>UNDERSUPPLY_LEANING</x:v>
      </x:c>
    </x:row>
    <x:row r="8">
      <x:c r="A8" t="str">
        <x:v>Rice</x:v>
      </x:c>
      <x:c r="B8" t="n">
        <x:v>2026</x:v>
      </x:c>
      <x:c r="C8" t="str">
        <x:v>Q3</x:v>
      </x:c>
      <x:c r="D8" t="str">
        <x:v>0403407</x:v>
      </x:c>
      <x:c r="E8" t="str">
        <x:v>Cavinti</x:v>
      </x:c>
      <x:c r="F8" s="14" t="n">
        <x:f>'Commodity Benchmark'!E8</x:f>
        <x:v>0.006351068303993657</x:v>
      </x:c>
      <x:c r="G8" s="14" t="n">
        <x:f>'Commodity Benchmark'!G8</x:f>
        <x:v>0.14095870629504315</x:v>
      </x:c>
      <x:c r="H8" s="18" t="n">
        <x:f>'Provincial Inputs'!D2</x:f>
        <x:v>0</x:v>
      </x:c>
      <x:c r="I8" s="18" t="n">
        <x:f>'Provincial Inputs'!E2</x:f>
        <x:v>0</x:v>
      </x:c>
      <x:c r="J8" s="18" t="str">
        <x:f>IF(H8="","",H8*F8)</x:f>
      </x:c>
      <x:c r="K8" s="18" t="str">
        <x:f>IF(I8="","",I8*G8)</x:f>
      </x:c>
      <x:c r="L8" s="18" t="str">
        <x:f>IF(OR(J8="",K8=""),"",J8-K8)</x:f>
      </x:c>
      <x:c r="M8" s="18" t="str">
        <x:f>IFERROR(J8/K8,"")</x:f>
      </x:c>
      <x:c r="N8" s="16" t="n">
        <x:f>'Commodity Benchmark'!J8</x:f>
        <x:v>10.057471263793104</x:v>
      </x:c>
      <x:c r="O8" t="str">
        <x:f>'Commodity Benchmark'!K8</x:f>
        <x:v>SEVERE_OVERSUPPLY</x:v>
      </x:c>
    </x:row>
    <x:row r="9">
      <x:c r="A9" t="str">
        <x:v>Rice</x:v>
      </x:c>
      <x:c r="B9" t="n">
        <x:v>2026</x:v>
      </x:c>
      <x:c r="C9" t="str">
        <x:v>Q3</x:v>
      </x:c>
      <x:c r="D9" t="str">
        <x:v>0403408</x:v>
      </x:c>
      <x:c r="E9" t="str">
        <x:v>Famy</x:v>
      </x:c>
      <x:c r="F9" s="14" t="n">
        <x:f>'Commodity Benchmark'!E9</x:f>
        <x:v>0.004456411218566179</x:v>
      </x:c>
      <x:c r="G9" s="14" t="n">
        <x:f>'Commodity Benchmark'!G9</x:f>
        <x:v>0.03506966884600285</x:v>
      </x:c>
      <x:c r="H9" s="18" t="n">
        <x:f>'Provincial Inputs'!D2</x:f>
        <x:v>0</x:v>
      </x:c>
      <x:c r="I9" s="18" t="n">
        <x:f>'Provincial Inputs'!E2</x:f>
        <x:v>0</x:v>
      </x:c>
      <x:c r="J9" s="18" t="str">
        <x:f>IF(H9="","",H9*F9)</x:f>
      </x:c>
      <x:c r="K9" s="18" t="str">
        <x:f>IF(I9="","",I9*G9)</x:f>
      </x:c>
      <x:c r="L9" s="18" t="str">
        <x:f>IF(OR(J9="",K9=""),"",J9-K9)</x:f>
      </x:c>
      <x:c r="M9" s="18" t="str">
        <x:f>IFERROR(J9/K9,"")</x:f>
      </x:c>
      <x:c r="N9" s="16" t="n">
        <x:f>'Commodity Benchmark'!J9</x:f>
        <x:v>12.931034483793104</x:v>
      </x:c>
      <x:c r="O9" t="str">
        <x:f>'Commodity Benchmark'!K9</x:f>
        <x:v>SEVERE_OVERSUPPLY</x:v>
      </x:c>
    </x:row>
    <x:row r="10">
      <x:c r="A10" t="str">
        <x:v>Rice</x:v>
      </x:c>
      <x:c r="B10" t="n">
        <x:v>2026</x:v>
      </x:c>
      <x:c r="C10" t="str">
        <x:v>Q3</x:v>
      </x:c>
      <x:c r="D10" t="str">
        <x:v>0403409</x:v>
      </x:c>
      <x:c r="E10" t="str">
        <x:v>Kalayaan</x:v>
      </x:c>
      <x:c r="F10" s="14" t="n">
        <x:f>'Commodity Benchmark'!E10</x:f>
        <x:v>0.006983720996791543</x:v>
      </x:c>
      <x:c r="G10" s="14" t="n">
        <x:f>'Commodity Benchmark'!G10</x:f>
        <x:v>0.010734688191350133</x:v>
      </x:c>
      <x:c r="H10" s="18" t="n">
        <x:f>'Provincial Inputs'!D2</x:f>
        <x:v>0</x:v>
      </x:c>
      <x:c r="I10" s="18" t="n">
        <x:f>'Provincial Inputs'!E2</x:f>
        <x:v>0</x:v>
      </x:c>
      <x:c r="J10" s="18" t="str">
        <x:f>IF(H10="","",H10*F10)</x:f>
      </x:c>
      <x:c r="K10" s="18" t="str">
        <x:f>IF(I10="","",I10*G10)</x:f>
      </x:c>
      <x:c r="L10" s="18" t="str">
        <x:f>IF(OR(J10="",K10=""),"",J10-K10)</x:f>
      </x:c>
      <x:c r="M10" s="18" t="str">
        <x:f>IFERROR(J10/K10,"")</x:f>
      </x:c>
      <x:c r="N10" s="16" t="n">
        <x:f>'Commodity Benchmark'!J10</x:f>
        <x:v>52.01149425482758</x:v>
      </x:c>
      <x:c r="O10" t="str">
        <x:f>'Commodity Benchmark'!K10</x:f>
        <x:v>BALANCED</x:v>
      </x:c>
    </x:row>
    <x:row r="11">
      <x:c r="A11" t="str">
        <x:v>Rice</x:v>
      </x:c>
      <x:c r="B11" t="n">
        <x:v>2026</x:v>
      </x:c>
      <x:c r="C11" t="str">
        <x:v>Q3</x:v>
      </x:c>
      <x:c r="D11" t="str">
        <x:v>0403410</x:v>
      </x:c>
      <x:c r="E11" t="str">
        <x:v>Liliw</x:v>
      </x:c>
      <x:c r="F11" s="14" t="n">
        <x:f>'Commodity Benchmark'!E11</x:f>
        <x:v>0.009953773620843992</x:v>
      </x:c>
      <x:c r="G11" s="14" t="n">
        <x:f>'Commodity Benchmark'!G11</x:f>
        <x:v>0.03278438087762753</x:v>
      </x:c>
      <x:c r="H11" s="18" t="n">
        <x:f>'Provincial Inputs'!D2</x:f>
        <x:v>0</x:v>
      </x:c>
      <x:c r="I11" s="18" t="n">
        <x:f>'Provincial Inputs'!E2</x:f>
        <x:v>0</x:v>
      </x:c>
      <x:c r="J11" s="18" t="str">
        <x:f>IF(H11="","",H11*F11)</x:f>
      </x:c>
      <x:c r="K11" s="18" t="str">
        <x:f>IF(I11="","",I11*G11)</x:f>
      </x:c>
      <x:c r="L11" s="18" t="str">
        <x:f>IF(OR(J11="",K11=""),"",J11-K11)</x:f>
      </x:c>
      <x:c r="M11" s="18" t="str">
        <x:f>IFERROR(J11/K11,"")</x:f>
      </x:c>
      <x:c r="N11" s="16" t="n">
        <x:f>'Commodity Benchmark'!J11</x:f>
        <x:v>41.95402298827587</x:v>
      </x:c>
      <x:c r="O11" t="str">
        <x:f>'Commodity Benchmark'!K11</x:f>
        <x:v>BALANCED</x:v>
      </x:c>
    </x:row>
    <x:row r="12">
      <x:c r="A12" t="str">
        <x:v>Rice</x:v>
      </x:c>
      <x:c r="B12" t="n">
        <x:v>2026</x:v>
      </x:c>
      <x:c r="C12" t="str">
        <x:v>Q3</x:v>
      </x:c>
      <x:c r="D12" t="str">
        <x:v>0403411</x:v>
      </x:c>
      <x:c r="E12" t="str">
        <x:v>Los Baños</x:v>
      </x:c>
      <x:c r="F12" s="14" t="n">
        <x:f>'Commodity Benchmark'!E12</x:f>
        <x:v>0.03220264714835558</x:v>
      </x:c>
      <x:c r="G12" s="14" t="n">
        <x:f>'Commodity Benchmark'!G12</x:f>
        <x:v>0.014124591102188954</x:v>
      </x:c>
      <x:c r="H12" s="18" t="n">
        <x:f>'Provincial Inputs'!D2</x:f>
        <x:v>0</x:v>
      </x:c>
      <x:c r="I12" s="18" t="n">
        <x:f>'Provincial Inputs'!E2</x:f>
        <x:v>0</x:v>
      </x:c>
      <x:c r="J12" s="18" t="str">
        <x:f>IF(H12="","",H12*F12)</x:f>
      </x:c>
      <x:c r="K12" s="18" t="str">
        <x:f>IF(I12="","",I12*G12)</x:f>
      </x:c>
      <x:c r="L12" s="18" t="str">
        <x:f>IF(OR(J12="",K12=""),"",J12-K12)</x:f>
      </x:c>
      <x:c r="M12" s="18" t="str">
        <x:f>IFERROR(J12/K12,"")</x:f>
      </x:c>
      <x:c r="N12" s="16" t="n">
        <x:f>'Commodity Benchmark'!J12</x:f>
        <x:v>72.98850574689655</x:v>
      </x:c>
      <x:c r="O12" t="str">
        <x:f>'Commodity Benchmark'!K12</x:f>
        <x:v>UNDERSUPPLY_LEANING</x:v>
      </x:c>
    </x:row>
    <x:row r="13">
      <x:c r="A13" t="str">
        <x:v>Rice</x:v>
      </x:c>
      <x:c r="B13" t="n">
        <x:v>2026</x:v>
      </x:c>
      <x:c r="C13" t="str">
        <x:v>Q3</x:v>
      </x:c>
      <x:c r="D13" t="str">
        <x:v>0403412</x:v>
      </x:c>
      <x:c r="E13" t="str">
        <x:v>Luisiana</x:v>
      </x:c>
      <x:c r="F13" s="14" t="n">
        <x:f>'Commodity Benchmark'!E13</x:f>
        <x:v>0.005434039311119153</x:v>
      </x:c>
      <x:c r="G13" s="14" t="n">
        <x:f>'Commodity Benchmark'!G13</x:f>
        <x:v>0.05821125586691014</x:v>
      </x:c>
      <x:c r="H13" s="18" t="n">
        <x:f>'Provincial Inputs'!D2</x:f>
        <x:v>0</x:v>
      </x:c>
      <x:c r="I13" s="18" t="n">
        <x:f>'Provincial Inputs'!E2</x:f>
        <x:v>0</x:v>
      </x:c>
      <x:c r="J13" s="18" t="str">
        <x:f>IF(H13="","",H13*F13)</x:f>
      </x:c>
      <x:c r="K13" s="18" t="str">
        <x:f>IF(I13="","",I13*G13)</x:f>
      </x:c>
      <x:c r="L13" s="18" t="str">
        <x:f>IF(OR(J13="",K13=""),"",J13-K13)</x:f>
      </x:c>
      <x:c r="M13" s="18" t="str">
        <x:f>IFERROR(J13/K13,"")</x:f>
      </x:c>
      <x:c r="N13" s="16" t="n">
        <x:f>'Commodity Benchmark'!J13</x:f>
        <x:v>11.781609195517241</x:v>
      </x:c>
      <x:c r="O13" t="str">
        <x:f>'Commodity Benchmark'!K13</x:f>
        <x:v>SEVERE_OVERSUPPLY</x:v>
      </x:c>
    </x:row>
    <x:row r="14">
      <x:c r="A14" t="str">
        <x:v>Rice</x:v>
      </x:c>
      <x:c r="B14" t="n">
        <x:v>2026</x:v>
      </x:c>
      <x:c r="C14" t="str">
        <x:v>Q3</x:v>
      </x:c>
      <x:c r="D14" t="str">
        <x:v>0403413</x:v>
      </x:c>
      <x:c r="E14" t="str">
        <x:v>Lumban</x:v>
      </x:c>
      <x:c r="F14" s="14" t="n">
        <x:f>'Commodity Benchmark'!E14</x:f>
        <x:v>0.00834397989490821</x:v>
      </x:c>
      <x:c r="G14" s="14" t="n">
        <x:f>'Commodity Benchmark'!G14</x:f>
        <x:v>0.024550905812810508</x:v>
      </x:c>
      <x:c r="H14" s="18" t="n">
        <x:f>'Provincial Inputs'!D2</x:f>
        <x:v>0</x:v>
      </x:c>
      <x:c r="I14" s="18" t="n">
        <x:f>'Provincial Inputs'!E2</x:f>
        <x:v>0</x:v>
      </x:c>
      <x:c r="J14" s="18" t="str">
        <x:f>IF(H14="","",H14*F14)</x:f>
      </x:c>
      <x:c r="K14" s="18" t="str">
        <x:f>IF(I14="","",I14*G14)</x:f>
      </x:c>
      <x:c r="L14" s="18" t="str">
        <x:f>IF(OR(J14="",K14=""),"",J14-K14)</x:f>
      </x:c>
      <x:c r="M14" s="18" t="str">
        <x:f>IFERROR(J14/K14,"")</x:f>
      </x:c>
      <x:c r="N14" s="16" t="n">
        <x:f>'Commodity Benchmark'!J14</x:f>
        <x:v>45.11494252931034</x:v>
      </x:c>
      <x:c r="O14" t="str">
        <x:f>'Commodity Benchmark'!K14</x:f>
        <x:v>BALANCED</x:v>
      </x:c>
    </x:row>
    <x:row r="15">
      <x:c r="A15" t="str">
        <x:v>Rice</x:v>
      </x:c>
      <x:c r="B15" t="n">
        <x:v>2026</x:v>
      </x:c>
      <x:c r="C15" t="str">
        <x:v>Q3</x:v>
      </x:c>
      <x:c r="D15" t="str">
        <x:v>0403414</x:v>
      </x:c>
      <x:c r="E15" t="str">
        <x:v>Mabitac</x:v>
      </x:c>
      <x:c r="F15" s="14" t="n">
        <x:f>'Commodity Benchmark'!E15</x:f>
        <x:v>0.005415115787125153</x:v>
      </x:c>
      <x:c r="G15" s="14" t="n">
        <x:f>'Commodity Benchmark'!G15</x:f>
        <x:v>0.059773748763313504</x:v>
      </x:c>
      <x:c r="H15" s="18" t="n">
        <x:f>'Provincial Inputs'!D2</x:f>
        <x:v>0</x:v>
      </x:c>
      <x:c r="I15" s="18" t="n">
        <x:f>'Provincial Inputs'!E2</x:f>
        <x:v>0</x:v>
      </x:c>
      <x:c r="J15" s="18" t="str">
        <x:f>IF(H15="","",H15*F15)</x:f>
      </x:c>
      <x:c r="K15" s="18" t="str">
        <x:f>IF(I15="","",I15*G15)</x:f>
      </x:c>
      <x:c r="L15" s="18" t="str">
        <x:f>IF(OR(J15="",K15=""),"",J15-K15)</x:f>
      </x:c>
      <x:c r="M15" s="18" t="str">
        <x:f>IFERROR(J15/K15,"")</x:f>
      </x:c>
      <x:c r="N15" s="16" t="n">
        <x:f>'Commodity Benchmark'!J15</x:f>
        <x:v>8.333333333448277</x:v>
      </x:c>
      <x:c r="O15" t="str">
        <x:f>'Commodity Benchmark'!K15</x:f>
        <x:v>SEVERE_OVERSUPPLY</x:v>
      </x:c>
    </x:row>
    <x:row r="16">
      <x:c r="A16" t="str">
        <x:v>Rice</x:v>
      </x:c>
      <x:c r="B16" t="n">
        <x:v>2026</x:v>
      </x:c>
      <x:c r="C16" t="str">
        <x:v>Q3</x:v>
      </x:c>
      <x:c r="D16" t="str">
        <x:v>0403415</x:v>
      </x:c>
      <x:c r="E16" t="str">
        <x:v>Magdalena</x:v>
      </x:c>
      <x:c r="F16" s="14" t="n">
        <x:f>'Commodity Benchmark'!E16</x:f>
        <x:v>0.007043356380044857</x:v>
      </x:c>
      <x:c r="G16" s="14" t="n">
        <x:f>'Commodity Benchmark'!G16</x:f>
        <x:v>0.029802942891308318</x:v>
      </x:c>
      <x:c r="H16" s="18" t="n">
        <x:f>'Provincial Inputs'!D2</x:f>
        <x:v>0</x:v>
      </x:c>
      <x:c r="I16" s="18" t="n">
        <x:f>'Provincial Inputs'!E2</x:f>
        <x:v>0</x:v>
      </x:c>
      <x:c r="J16" s="18" t="str">
        <x:f>IF(H16="","",H16*F16)</x:f>
      </x:c>
      <x:c r="K16" s="18" t="str">
        <x:f>IF(I16="","",I16*G16)</x:f>
      </x:c>
      <x:c r="L16" s="18" t="str">
        <x:f>IF(OR(J16="",K16=""),"",J16-K16)</x:f>
      </x:c>
      <x:c r="M16" s="18" t="str">
        <x:f>IFERROR(J16/K16,"")</x:f>
      </x:c>
      <x:c r="N16" s="16" t="n">
        <x:f>'Commodity Benchmark'!J16</x:f>
        <x:v>36.781609195862075</x:v>
      </x:c>
      <x:c r="O16" t="str">
        <x:f>'Commodity Benchmark'!K16</x:f>
        <x:v>OVERSUPPLY_LEANING</x:v>
      </x:c>
    </x:row>
    <x:row r="17">
      <x:c r="A17" t="str">
        <x:v>Rice</x:v>
      </x:c>
      <x:c r="B17" t="n">
        <x:v>2026</x:v>
      </x:c>
      <x:c r="C17" t="str">
        <x:v>Q3</x:v>
      </x:c>
      <x:c r="D17" t="str">
        <x:v>0403416</x:v>
      </x:c>
      <x:c r="E17" t="str">
        <x:v>Majayjay</x:v>
      </x:c>
      <x:c r="F17" s="14" t="n">
        <x:f>'Commodity Benchmark'!E17</x:f>
        <x:v>0.007097317472697046</x:v>
      </x:c>
      <x:c r="G17" s="14" t="n">
        <x:f>'Commodity Benchmark'!G17</x:f>
        <x:v>0.05484401791231961</x:v>
      </x:c>
      <x:c r="H17" s="18" t="n">
        <x:f>'Provincial Inputs'!D2</x:f>
        <x:v>0</x:v>
      </x:c>
      <x:c r="I17" s="18" t="n">
        <x:f>'Provincial Inputs'!E2</x:f>
        <x:v>0</x:v>
      </x:c>
      <x:c r="J17" s="18" t="str">
        <x:f>IF(H17="","",H17*F17)</x:f>
      </x:c>
      <x:c r="K17" s="18" t="str">
        <x:f>IF(I17="","",I17*G17)</x:f>
      </x:c>
      <x:c r="L17" s="18" t="str">
        <x:f>IF(OR(J17="",K17=""),"",J17-K17)</x:f>
      </x:c>
      <x:c r="M17" s="18" t="str">
        <x:f>IFERROR(J17/K17,"")</x:f>
      </x:c>
      <x:c r="N17" s="16" t="n">
        <x:f>'Commodity Benchmark'!J17</x:f>
        <x:v>27.298850574137933</x:v>
      </x:c>
      <x:c r="O17" t="str">
        <x:f>'Commodity Benchmark'!K17</x:f>
        <x:v>OVERSUPPLY_LEANING</x:v>
      </x:c>
    </x:row>
    <x:row r="18">
      <x:c r="A18" t="str">
        <x:v>Rice</x:v>
      </x:c>
      <x:c r="B18" t="n">
        <x:v>2026</x:v>
      </x:c>
      <x:c r="C18" t="str">
        <x:v>Q3</x:v>
      </x:c>
      <x:c r="D18" t="str">
        <x:v>0403417</x:v>
      </x:c>
      <x:c r="E18" t="str">
        <x:v>Nagcarlan</x:v>
      </x:c>
      <x:c r="F18" s="14" t="n">
        <x:f>'Commodity Benchmark'!E18</x:f>
        <x:v>0.017062504551444698</x:v>
      </x:c>
      <x:c r="G18" s="14" t="n">
        <x:f>'Commodity Benchmark'!G18</x:f>
        <x:v>0.03968463234056456</x:v>
      </x:c>
      <x:c r="H18" s="18" t="n">
        <x:f>'Provincial Inputs'!D2</x:f>
        <x:v>0</x:v>
      </x:c>
      <x:c r="I18" s="18" t="n">
        <x:f>'Provincial Inputs'!E2</x:f>
        <x:v>0</x:v>
      </x:c>
      <x:c r="J18" s="18" t="str">
        <x:f>IF(H18="","",H18*F18)</x:f>
      </x:c>
      <x:c r="K18" s="18" t="str">
        <x:f>IF(I18="","",I18*G18)</x:f>
      </x:c>
      <x:c r="L18" s="18" t="str">
        <x:f>IF(OR(J18="",K18=""),"",J18-K18)</x:f>
      </x:c>
      <x:c r="M18" s="18" t="str">
        <x:f>IFERROR(J18/K18,"")</x:f>
      </x:c>
      <x:c r="N18" s="16" t="n">
        <x:f>'Commodity Benchmark'!J18</x:f>
        <x:v>48.27586206758622</x:v>
      </x:c>
      <x:c r="O18" t="str">
        <x:f>'Commodity Benchmark'!K18</x:f>
        <x:v>BALANCED</x:v>
      </x:c>
    </x:row>
    <x:row r="19">
      <x:c r="A19" t="str">
        <x:v>Rice</x:v>
      </x:c>
      <x:c r="B19" t="n">
        <x:v>2026</x:v>
      </x:c>
      <x:c r="C19" t="str">
        <x:v>Q3</x:v>
      </x:c>
      <x:c r="D19" t="str">
        <x:v>0403418</x:v>
      </x:c>
      <x:c r="E19" t="str">
        <x:v>Paete</x:v>
      </x:c>
      <x:c r="F19" s="14" t="n">
        <x:f>'Commodity Benchmark'!E19</x:f>
        <x:v>0.006645111481574426</x:v>
      </x:c>
      <x:c r="G19" s="14" t="n">
        <x:f>'Commodity Benchmark'!G19</x:f>
        <x:v>0.03176185473095277</x:v>
      </x:c>
      <x:c r="H19" s="18" t="n">
        <x:f>'Provincial Inputs'!D2</x:f>
        <x:v>0</x:v>
      </x:c>
      <x:c r="I19" s="18" t="n">
        <x:f>'Provincial Inputs'!E2</x:f>
        <x:v>0</x:v>
      </x:c>
      <x:c r="J19" s="18" t="str">
        <x:f>IF(H19="","",H19*F19)</x:f>
      </x:c>
      <x:c r="K19" s="18" t="str">
        <x:f>IF(I19="","",I19*G19)</x:f>
      </x:c>
      <x:c r="L19" s="18" t="str">
        <x:f>IF(OR(J19="",K19=""),"",J19-K19)</x:f>
      </x:c>
      <x:c r="M19" s="18" t="str">
        <x:f>IFERROR(J19/K19,"")</x:f>
      </x:c>
      <x:c r="N19" s="16" t="n">
        <x:f>'Commodity Benchmark'!J19</x:f>
        <x:v>29.310344828275863</x:v>
      </x:c>
      <x:c r="O19" t="str">
        <x:f>'Commodity Benchmark'!K19</x:f>
        <x:v>OVERSUPPLY_LEANING</x:v>
      </x:c>
    </x:row>
    <x:row r="20">
      <x:c r="A20" t="str">
        <x:v>Rice</x:v>
      </x:c>
      <x:c r="B20" t="n">
        <x:v>2026</x:v>
      </x:c>
      <x:c r="C20" t="str">
        <x:v>Q3</x:v>
      </x:c>
      <x:c r="D20" t="str">
        <x:v>0403419</x:v>
      </x:c>
      <x:c r="E20" t="str">
        <x:v>Pagsanjan</x:v>
      </x:c>
      <x:c r="F20" s="14" t="n">
        <x:f>'Commodity Benchmark'!E20</x:f>
        <x:v>0.012028319385316677</x:v>
      </x:c>
      <x:c r="G20" s="14" t="n">
        <x:f>'Commodity Benchmark'!G20</x:f>
        <x:v>0.012984684801085621</x:v>
      </x:c>
      <x:c r="H20" s="18" t="n">
        <x:f>'Provincial Inputs'!D2</x:f>
        <x:v>0</x:v>
      </x:c>
      <x:c r="I20" s="18" t="n">
        <x:f>'Provincial Inputs'!E2</x:f>
        <x:v>0</x:v>
      </x:c>
      <x:c r="J20" s="18" t="str">
        <x:f>IF(H20="","",H20*F20)</x:f>
      </x:c>
      <x:c r="K20" s="18" t="str">
        <x:f>IF(I20="","",I20*G20)</x:f>
      </x:c>
      <x:c r="L20" s="18" t="str">
        <x:f>IF(OR(J20="",K20=""),"",J20-K20)</x:f>
      </x:c>
      <x:c r="M20" s="18" t="str">
        <x:f>IFERROR(J20/K20,"")</x:f>
      </x:c>
      <x:c r="N20" s="16" t="n">
        <x:f>'Commodity Benchmark'!J20</x:f>
        <x:v>61.7816091962069</x:v>
      </x:c>
      <x:c r="O20" t="str">
        <x:f>'Commodity Benchmark'!K20</x:f>
        <x:v>UNDERSUPPLY_LEANING</x:v>
      </x:c>
    </x:row>
    <x:row r="21">
      <x:c r="A21" t="str">
        <x:v>Rice</x:v>
      </x:c>
      <x:c r="B21" t="n">
        <x:v>2026</x:v>
      </x:c>
      <x:c r="C21" t="str">
        <x:v>Q3</x:v>
      </x:c>
      <x:c r="D21" t="str">
        <x:v>0403420</x:v>
      </x:c>
      <x:c r="E21" t="str">
        <x:v>Pakil</x:v>
      </x:c>
      <x:c r="F21" s="14" t="n">
        <x:f>'Commodity Benchmark'!E21</x:f>
        <x:v>0.005968877857686415</x:v>
      </x:c>
      <x:c r="G21" s="14" t="n">
        <x:f>'Commodity Benchmark'!G21</x:f>
        <x:v>0.03365632225994867</x:v>
      </x:c>
      <x:c r="H21" s="18" t="n">
        <x:f>'Provincial Inputs'!D2</x:f>
        <x:v>0</x:v>
      </x:c>
      <x:c r="I21" s="18" t="n">
        <x:f>'Provincial Inputs'!E2</x:f>
        <x:v>0</x:v>
      </x:c>
      <x:c r="J21" s="18" t="str">
        <x:f>IF(H21="","",H21*F21)</x:f>
      </x:c>
      <x:c r="K21" s="18" t="str">
        <x:f>IF(I21="","",I21*G21)</x:f>
      </x:c>
      <x:c r="L21" s="18" t="str">
        <x:f>IF(OR(J21="",K21=""),"",J21-K21)</x:f>
      </x:c>
      <x:c r="M21" s="18" t="str">
        <x:f>IFERROR(J21/K21,"")</x:f>
      </x:c>
      <x:c r="N21" s="16" t="n">
        <x:f>'Commodity Benchmark'!J21</x:f>
        <x:v>22.41379310413793</x:v>
      </x:c>
      <x:c r="O21" t="str">
        <x:f>'Commodity Benchmark'!K21</x:f>
        <x:v>SEVERE_OVERSUPPLY</x:v>
      </x:c>
    </x:row>
    <x:row r="22">
      <x:c r="A22" t="str">
        <x:v>Rice</x:v>
      </x:c>
      <x:c r="B22" t="n">
        <x:v>2026</x:v>
      </x:c>
      <x:c r="C22" t="str">
        <x:v>Q3</x:v>
      </x:c>
      <x:c r="D22" t="str">
        <x:v>0403421</x:v>
      </x:c>
      <x:c r="E22" t="str">
        <x:v>Pangil</x:v>
      </x:c>
      <x:c r="F22" s="14" t="n">
        <x:f>'Commodity Benchmark'!E22</x:f>
        <x:v>0.006673859468441977</x:v>
      </x:c>
      <x:c r="G22" s="14" t="n">
        <x:f>'Commodity Benchmark'!G22</x:f>
        <x:v>0.02204992076124774</x:v>
      </x:c>
      <x:c r="H22" s="18" t="n">
        <x:f>'Provincial Inputs'!D2</x:f>
        <x:v>0</x:v>
      </x:c>
      <x:c r="I22" s="18" t="n">
        <x:f>'Provincial Inputs'!E2</x:f>
        <x:v>0</x:v>
      </x:c>
      <x:c r="J22" s="18" t="str">
        <x:f>IF(H22="","",H22*F22)</x:f>
      </x:c>
      <x:c r="K22" s="18" t="str">
        <x:f>IF(I22="","",I22*G22)</x:f>
      </x:c>
      <x:c r="L22" s="18" t="str">
        <x:f>IF(OR(J22="",K22=""),"",J22-K22)</x:f>
      </x:c>
      <x:c r="M22" s="18" t="str">
        <x:f>IFERROR(J22/K22,"")</x:f>
      </x:c>
      <x:c r="N22" s="16" t="n">
        <x:f>'Commodity Benchmark'!J22</x:f>
        <x:v>39.94252873689655</x:v>
      </x:c>
      <x:c r="O22" t="str">
        <x:f>'Commodity Benchmark'!K22</x:f>
        <x:v>OVERSUPPLY_LEANING</x:v>
      </x:c>
    </x:row>
    <x:row r="23">
      <x:c r="A23" t="str">
        <x:v>Rice</x:v>
      </x:c>
      <x:c r="B23" t="n">
        <x:v>2026</x:v>
      </x:c>
      <x:c r="C23" t="str">
        <x:v>Q3</x:v>
      </x:c>
      <x:c r="D23" t="str">
        <x:v>0403422</x:v>
      </x:c>
      <x:c r="E23" t="str">
        <x:v>Pila</x:v>
      </x:c>
      <x:c r="F23" s="14" t="n">
        <x:f>'Commodity Benchmark'!E23</x:f>
        <x:v>0.015159501832278247</x:v>
      </x:c>
      <x:c r="G23" s="14" t="n">
        <x:f>'Commodity Benchmark'!G23</x:f>
        <x:v>0.01590658230633095</x:v>
      </x:c>
      <x:c r="H23" s="18" t="n">
        <x:f>'Provincial Inputs'!D2</x:f>
        <x:v>0</x:v>
      </x:c>
      <x:c r="I23" s="18" t="n">
        <x:f>'Provincial Inputs'!E2</x:f>
        <x:v>0</x:v>
      </x:c>
      <x:c r="J23" s="18" t="str">
        <x:f>IF(H23="","",H23*F23)</x:f>
      </x:c>
      <x:c r="K23" s="18" t="str">
        <x:f>IF(I23="","",I23*G23)</x:f>
      </x:c>
      <x:c r="L23" s="18" t="str">
        <x:f>IF(OR(J23="",K23=""),"",J23-K23)</x:f>
      </x:c>
      <x:c r="M23" s="18" t="str">
        <x:f>IFERROR(J23/K23,"")</x:f>
      </x:c>
      <x:c r="N23" s="16" t="n">
        <x:f>'Commodity Benchmark'!J23</x:f>
        <x:v>63.50574712655173</x:v>
      </x:c>
      <x:c r="O23" t="str">
        <x:f>'Commodity Benchmark'!K23</x:f>
        <x:v>UNDERSUPPLY_LEANING</x:v>
      </x:c>
    </x:row>
    <x:row r="24">
      <x:c r="A24" t="str">
        <x:v>Rice</x:v>
      </x:c>
      <x:c r="B24" t="n">
        <x:v>2026</x:v>
      </x:c>
      <x:c r="C24" t="str">
        <x:v>Q3</x:v>
      </x:c>
      <x:c r="D24" t="str">
        <x:v>0403423</x:v>
      </x:c>
      <x:c r="E24" t="str">
        <x:v>Rizal</x:v>
      </x:c>
      <x:c r="F24" s="14" t="n">
        <x:f>'Commodity Benchmark'!E24</x:f>
        <x:v>0.0047565134097373426</x:v>
      </x:c>
      <x:c r="G24" s="14" t="n">
        <x:f>'Commodity Benchmark'!G24</x:f>
        <x:v>0.023889893182829858</x:v>
      </x:c>
      <x:c r="H24" s="18" t="n">
        <x:f>'Provincial Inputs'!D2</x:f>
        <x:v>0</x:v>
      </x:c>
      <x:c r="I24" s="18" t="n">
        <x:f>'Provincial Inputs'!E2</x:f>
        <x:v>0</x:v>
      </x:c>
      <x:c r="J24" s="18" t="str">
        <x:f>IF(H24="","",H24*F24)</x:f>
      </x:c>
      <x:c r="K24" s="18" t="str">
        <x:f>IF(I24="","",I24*G24)</x:f>
      </x:c>
      <x:c r="L24" s="18" t="str">
        <x:f>IF(OR(J24="",K24=""),"",J24-K24)</x:f>
      </x:c>
      <x:c r="M24" s="18" t="str">
        <x:f>IFERROR(J24/K24,"")</x:f>
      </x:c>
      <x:c r="N24" s="16" t="n">
        <x:f>'Commodity Benchmark'!J24</x:f>
        <x:v>26.43678161103448</x:v>
      </x:c>
      <x:c r="O24" t="str">
        <x:f>'Commodity Benchmark'!K24</x:f>
        <x:v>OVERSUPPLY_LEANING</x:v>
      </x:c>
    </x:row>
    <x:row r="25">
      <x:c r="A25" t="str">
        <x:v>Rice</x:v>
      </x:c>
      <x:c r="B25" t="n">
        <x:v>2026</x:v>
      </x:c>
      <x:c r="C25" t="str">
        <x:v>Q3</x:v>
      </x:c>
      <x:c r="D25" t="str">
        <x:v>0403424</x:v>
      </x:c>
      <x:c r="E25" t="str">
        <x:v>San Pablo</x:v>
      </x:c>
      <x:c r="F25" s="14" t="n">
        <x:f>'Commodity Benchmark'!E25</x:f>
        <x:v>0.08012899906025256</x:v>
      </x:c>
      <x:c r="G25" s="14" t="n">
        <x:f>'Commodity Benchmark'!G25</x:f>
        <x:v>0.08327965317417149</x:v>
      </x:c>
      <x:c r="H25" s="18" t="n">
        <x:f>'Provincial Inputs'!D2</x:f>
        <x:v>0</x:v>
      </x:c>
      <x:c r="I25" s="18" t="n">
        <x:f>'Provincial Inputs'!E2</x:f>
        <x:v>0</x:v>
      </x:c>
      <x:c r="J25" s="18" t="str">
        <x:f>IF(H25="","",H25*F25)</x:f>
      </x:c>
      <x:c r="K25" s="18" t="str">
        <x:f>IF(I25="","",I25*G25)</x:f>
      </x:c>
      <x:c r="L25" s="18" t="str">
        <x:f>IF(OR(J25="",K25=""),"",J25-K25)</x:f>
      </x:c>
      <x:c r="M25" s="18" t="str">
        <x:f>IFERROR(J25/K25,"")</x:f>
      </x:c>
      <x:c r="N25" s="16" t="n">
        <x:f>'Commodity Benchmark'!J25</x:f>
        <x:v>49.71264367551724</x:v>
      </x:c>
      <x:c r="O25" t="str">
        <x:f>'Commodity Benchmark'!K25</x:f>
        <x:v>BALANCED</x:v>
      </x:c>
    </x:row>
    <x:row r="26">
      <x:c r="A26" t="str">
        <x:v>Rice</x:v>
      </x:c>
      <x:c r="B26" t="n">
        <x:v>2026</x:v>
      </x:c>
      <x:c r="C26" t="str">
        <x:v>Q3</x:v>
      </x:c>
      <x:c r="D26" t="str">
        <x:v>0403425</x:v>
      </x:c>
      <x:c r="E26" t="str">
        <x:v>San Pedro</x:v>
      </x:c>
      <x:c r="F26" s="14" t="n">
        <x:f>'Commodity Benchmark'!E26</x:f>
        <x:v>0.09592749434916523</x:v>
      </x:c>
      <x:c r="G26" s="14" t="n">
        <x:f>'Commodity Benchmark'!G26</x:f>
        <x:v>0.005100337223852464</x:v>
      </x:c>
      <x:c r="H26" s="18" t="n">
        <x:f>'Provincial Inputs'!D2</x:f>
        <x:v>0</x:v>
      </x:c>
      <x:c r="I26" s="18" t="n">
        <x:f>'Provincial Inputs'!E2</x:f>
        <x:v>0</x:v>
      </x:c>
      <x:c r="J26" s="18" t="str">
        <x:f>IF(H26="","",H26*F26)</x:f>
      </x:c>
      <x:c r="K26" s="18" t="str">
        <x:f>IF(I26="","",I26*G26)</x:f>
      </x:c>
      <x:c r="L26" s="18" t="str">
        <x:f>IF(OR(J26="",K26=""),"",J26-K26)</x:f>
      </x:c>
      <x:c r="M26" s="18" t="str">
        <x:f>IFERROR(J26/K26,"")</x:f>
      </x:c>
      <x:c r="N26" s="16" t="n">
        <x:f>'Commodity Benchmark'!J26</x:f>
        <x:v>91.95402298896552</x:v>
      </x:c>
      <x:c r="O26" t="str">
        <x:f>'Commodity Benchmark'!K26</x:f>
        <x:v>HIGH_OPPORTUNITY</x:v>
      </x:c>
    </x:row>
    <x:row r="27">
      <x:c r="A27" t="str">
        <x:v>Rice</x:v>
      </x:c>
      <x:c r="B27" t="n">
        <x:v>2026</x:v>
      </x:c>
      <x:c r="C27" t="str">
        <x:v>Q3</x:v>
      </x:c>
      <x:c r="D27" t="str">
        <x:v>0403426</x:v>
      </x:c>
      <x:c r="E27" t="str">
        <x:v>Santa Cruz</x:v>
      </x:c>
      <x:c r="F27" s="14" t="n">
        <x:f>'Commodity Benchmark'!E27</x:f>
        <x:v>0.03427145653978878</x:v>
      </x:c>
      <x:c r="G27" s="14" t="n">
        <x:f>'Commodity Benchmark'!G27</x:f>
        <x:v>0.014094719570446907</x:v>
      </x:c>
      <x:c r="H27" s="18" t="n">
        <x:f>'Provincial Inputs'!D2</x:f>
        <x:v>0</x:v>
      </x:c>
      <x:c r="I27" s="18" t="n">
        <x:f>'Provincial Inputs'!E2</x:f>
        <x:v>0</x:v>
      </x:c>
      <x:c r="J27" s="18" t="str">
        <x:f>IF(H27="","",H27*F27)</x:f>
      </x:c>
      <x:c r="K27" s="18" t="str">
        <x:f>IF(I27="","",I27*G27)</x:f>
      </x:c>
      <x:c r="L27" s="18" t="str">
        <x:f>IF(OR(J27="",K27=""),"",J27-K27)</x:f>
      </x:c>
      <x:c r="M27" s="18" t="str">
        <x:f>IFERROR(J27/K27,"")</x:f>
      </x:c>
      <x:c r="N27" s="16" t="n">
        <x:f>'Commodity Benchmark'!J27</x:f>
        <x:v>76.43678160896552</x:v>
      </x:c>
      <x:c r="O27" t="str">
        <x:f>'Commodity Benchmark'!K27</x:f>
        <x:v>HIGH_OPPORTUNITY</x:v>
      </x:c>
    </x:row>
    <x:row r="28">
      <x:c r="A28" t="str">
        <x:v>Rice</x:v>
      </x:c>
      <x:c r="B28" t="n">
        <x:v>2026</x:v>
      </x:c>
      <x:c r="C28" t="str">
        <x:v>Q3</x:v>
      </x:c>
      <x:c r="D28" t="str">
        <x:v>0403427</x:v>
      </x:c>
      <x:c r="E28" t="str">
        <x:v>Santa Maria</x:v>
      </x:c>
      <x:c r="F28" s="14" t="n">
        <x:f>'Commodity Benchmark'!E28</x:f>
        <x:v>0.008491184411097202</x:v>
      </x:c>
      <x:c r="G28" s="14" t="n">
        <x:f>'Commodity Benchmark'!G28</x:f>
        <x:v>0.07236164118606885</x:v>
      </x:c>
      <x:c r="H28" s="18" t="n">
        <x:f>'Provincial Inputs'!D2</x:f>
        <x:v>0</x:v>
      </x:c>
      <x:c r="I28" s="18" t="n">
        <x:f>'Provincial Inputs'!E2</x:f>
        <x:v>0</x:v>
      </x:c>
      <x:c r="J28" s="18" t="str">
        <x:f>IF(H28="","",H28*F28)</x:f>
      </x:c>
      <x:c r="K28" s="18" t="str">
        <x:f>IF(I28="","",I28*G28)</x:f>
      </x:c>
      <x:c r="L28" s="18" t="str">
        <x:f>IF(OR(J28="",K28=""),"",J28-K28)</x:f>
      </x:c>
      <x:c r="M28" s="18" t="str">
        <x:f>IFERROR(J28/K28,"")</x:f>
      </x:c>
      <x:c r="N28" s="16" t="n">
        <x:f>'Commodity Benchmark'!J28</x:f>
        <x:v>27.011494251724137</x:v>
      </x:c>
      <x:c r="O28" t="str">
        <x:f>'Commodity Benchmark'!K28</x:f>
        <x:v>OVERSUPPLY_LEANING</x:v>
      </x:c>
    </x:row>
    <x:row r="29">
      <x:c r="A29" t="str">
        <x:v>Rice</x:v>
      </x:c>
      <x:c r="B29" t="n">
        <x:v>2026</x:v>
      </x:c>
      <x:c r="C29" t="str">
        <x:v>Q3</x:v>
      </x:c>
      <x:c r="D29" t="str">
        <x:v>0403428</x:v>
      </x:c>
      <x:c r="E29" t="str">
        <x:v>Santa Rosa</x:v>
      </x:c>
      <x:c r="F29" s="14" t="n">
        <x:f>'Commodity Benchmark'!E29</x:f>
        <x:v>0.11921820116219989</x:v>
      </x:c>
      <x:c r="G29" s="14" t="n">
        <x:f>'Commodity Benchmark'!G29</x:f>
        <x:v>0.01291245921788051</x:v>
      </x:c>
      <x:c r="H29" s="18" t="n">
        <x:f>'Provincial Inputs'!D2</x:f>
        <x:v>0</x:v>
      </x:c>
      <x:c r="I29" s="18" t="n">
        <x:f>'Provincial Inputs'!E2</x:f>
        <x:v>0</x:v>
      </x:c>
      <x:c r="J29" s="18" t="str">
        <x:f>IF(H29="","",H29*F29)</x:f>
      </x:c>
      <x:c r="K29" s="18" t="str">
        <x:f>IF(I29="","",I29*G29)</x:f>
      </x:c>
      <x:c r="L29" s="18" t="str">
        <x:f>IF(OR(J29="",K29=""),"",J29-K29)</x:f>
      </x:c>
      <x:c r="M29" s="18" t="str">
        <x:f>IFERROR(J29/K29,"")</x:f>
      </x:c>
      <x:c r="N29" s="16" t="n">
        <x:f>'Commodity Benchmark'!J29</x:f>
        <x:v>87.35632183862069</x:v>
      </x:c>
      <x:c r="O29" t="str">
        <x:f>'Commodity Benchmark'!K29</x:f>
        <x:v>HIGH_OPPORTUNITY</x:v>
      </x:c>
    </x:row>
    <x:row r="30">
      <x:c r="A30" t="str">
        <x:v>Rice</x:v>
      </x:c>
      <x:c r="B30" t="n">
        <x:v>2026</x:v>
      </x:c>
      <x:c r="C30" t="str">
        <x:v>Q3</x:v>
      </x:c>
      <x:c r="D30" t="str">
        <x:v>0403429</x:v>
      </x:c>
      <x:c r="E30" t="str">
        <x:v>Siniloan</x:v>
      </x:c>
      <x:c r="F30" s="14" t="n">
        <x:f>'Commodity Benchmark'!E30</x:f>
        <x:v>0.010923461441461441</x:v>
      </x:c>
      <x:c r="G30" s="14" t="n">
        <x:f>'Commodity Benchmark'!G30</x:f>
        <x:v>0.04038435840410658</x:v>
      </x:c>
      <x:c r="H30" s="18" t="n">
        <x:f>'Provincial Inputs'!D2</x:f>
        <x:v>0</x:v>
      </x:c>
      <x:c r="I30" s="18" t="n">
        <x:f>'Provincial Inputs'!E2</x:f>
        <x:v>0</x:v>
      </x:c>
      <x:c r="J30" s="18" t="str">
        <x:f>IF(H30="","",H30*F30)</x:f>
      </x:c>
      <x:c r="K30" s="18" t="str">
        <x:f>IF(I30="","",I30*G30)</x:f>
      </x:c>
      <x:c r="L30" s="18" t="str">
        <x:f>IF(OR(J30="",K30=""),"",J30-K30)</x:f>
      </x:c>
      <x:c r="M30" s="18" t="str">
        <x:f>IFERROR(J30/K30,"")</x:f>
      </x:c>
      <x:c r="N30" s="16" t="n">
        <x:f>'Commodity Benchmark'!J30</x:f>
        <x:v>36.781609194482755</x:v>
      </x:c>
      <x:c r="O30" t="str">
        <x:f>'Commodity Benchmark'!K30</x:f>
        <x:v>OVERSUPPLY_LEANING</x:v>
      </x:c>
    </x:row>
    <x:row r="31">
      <x:c r="A31" t="str">
        <x:v>Rice</x:v>
      </x:c>
      <x:c r="B31" t="n">
        <x:v>2026</x:v>
      </x:c>
      <x:c r="C31" t="str">
        <x:v>Q3</x:v>
      </x:c>
      <x:c r="D31" t="str">
        <x:v>0403430</x:v>
      </x:c>
      <x:c r="E31" t="str">
        <x:v>Victoria</x:v>
      </x:c>
      <x:c r="F31" s="14" t="n">
        <x:f>'Commodity Benchmark'!E31</x:f>
        <x:v>0.012169202310186875</x:v>
      </x:c>
      <x:c r="G31" s="14" t="n">
        <x:f>'Commodity Benchmark'!G31</x:f>
        <x:v>0.008589703285776256</x:v>
      </x:c>
      <x:c r="H31" s="18" t="n">
        <x:f>'Provincial Inputs'!D2</x:f>
        <x:v>0</x:v>
      </x:c>
      <x:c r="I31" s="18" t="n">
        <x:f>'Provincial Inputs'!E2</x:f>
        <x:v>0</x:v>
      </x:c>
      <x:c r="J31" s="18" t="str">
        <x:f>IF(H31="","",H31*F31)</x:f>
      </x:c>
      <x:c r="K31" s="18" t="str">
        <x:f>IF(I31="","",I31*G31)</x:f>
      </x:c>
      <x:c r="L31" s="18" t="str">
        <x:f>IF(OR(J31="",K31=""),"",J31-K31)</x:f>
      </x:c>
      <x:c r="M31" s="18" t="str">
        <x:f>IFERROR(J31/K31,"")</x:f>
      </x:c>
      <x:c r="N31" s="16" t="n">
        <x:f>'Commodity Benchmark'!J31</x:f>
        <x:v>72.41379310482759</x:v>
      </x:c>
      <x:c r="O31" t="str">
        <x:f>'Commodity Benchmark'!K31</x:f>
        <x:v>UNDERSUPPLY_LEANING</x:v>
      </x:c>
    </x:row>
    <x:row r="32">
      <x:c r="A32" t="str">
        <x:v>Tomato</x:v>
      </x:c>
      <x:c r="B32" t="n">
        <x:v>2026</x:v>
      </x:c>
      <x:c r="C32" t="str">
        <x:v>Q3</x:v>
      </x:c>
      <x:c r="D32" t="str">
        <x:v>0403401</x:v>
      </x:c>
      <x:c r="E32" t="str">
        <x:v>Alaminos</x:v>
      </x:c>
      <x:c r="F32" s="14" t="n">
        <x:f>'Commodity Benchmark'!E32</x:f>
        <x:v>0.013909675391322093</x:v>
      </x:c>
      <x:c r="G32" s="14" t="n">
        <x:f>'Commodity Benchmark'!G32</x:f>
        <x:v>0.0326055254978097</x:v>
      </x:c>
      <x:c r="H32" s="18" t="n">
        <x:f>'Provincial Inputs'!D3</x:f>
        <x:v>0</x:v>
      </x:c>
      <x:c r="I32" s="18" t="n">
        <x:f>'Provincial Inputs'!E3</x:f>
        <x:v>797.77</x:v>
      </x:c>
      <x:c r="J32" s="18" t="str">
        <x:f>IF(H32="","",H32*F32)</x:f>
      </x:c>
      <x:c r="K32" s="18" t="n">
        <x:f>IF(I32="","",I32*G32)</x:f>
        <x:v>26.011710076387644</x:v>
      </x:c>
      <x:c r="L32" s="18" t="str">
        <x:f>IF(OR(J32="",K32=""),"",J32-K32)</x:f>
      </x:c>
      <x:c r="M32" s="18" t="n">
        <x:f>IFERROR(J32/K32,"")</x:f>
        <x:v>0</x:v>
      </x:c>
      <x:c r="N32" s="16" t="n">
        <x:f>'Commodity Benchmark'!J32</x:f>
        <x:v>52.873563217931036</x:v>
      </x:c>
      <x:c r="O32" t="str">
        <x:f>'Commodity Benchmark'!K32</x:f>
        <x:v>BALANCED</x:v>
      </x:c>
    </x:row>
    <x:row r="33">
      <x:c r="A33" t="str">
        <x:v>Tomato</x:v>
      </x:c>
      <x:c r="B33" t="n">
        <x:v>2026</x:v>
      </x:c>
      <x:c r="C33" t="str">
        <x:v>Q3</x:v>
      </x:c>
      <x:c r="D33" t="str">
        <x:v>0403402</x:v>
      </x:c>
      <x:c r="E33" t="str">
        <x:v>Bay</x:v>
      </x:c>
      <x:c r="F33" s="14" t="n">
        <x:f>'Commodity Benchmark'!E33</x:f>
        <x:v>0.018865307543054568</x:v>
      </x:c>
      <x:c r="G33" s="14" t="n">
        <x:f>'Commodity Benchmark'!G33</x:f>
        <x:v>0.015589113372363999</x:v>
      </x:c>
      <x:c r="H33" s="18" t="n">
        <x:f>'Provincial Inputs'!D3</x:f>
        <x:v>0</x:v>
      </x:c>
      <x:c r="I33" s="18" t="n">
        <x:f>'Provincial Inputs'!E3</x:f>
        <x:v>797.77</x:v>
      </x:c>
      <x:c r="J33" s="18" t="str">
        <x:f>IF(H33="","",H33*F33)</x:f>
      </x:c>
      <x:c r="K33" s="18" t="n">
        <x:f>IF(I33="","",I33*G33)</x:f>
        <x:v>12.436526975070826</x:v>
      </x:c>
      <x:c r="L33" s="18" t="str">
        <x:f>IF(OR(J33="",K33=""),"",J33-K33)</x:f>
      </x:c>
      <x:c r="M33" s="18" t="n">
        <x:f>IFERROR(J33/K33,"")</x:f>
        <x:v>0</x:v>
      </x:c>
      <x:c r="N33" s="16" t="n">
        <x:f>'Commodity Benchmark'!J33</x:f>
        <x:v>67.52873563206897</x:v>
      </x:c>
      <x:c r="O33" t="str">
        <x:f>'Commodity Benchmark'!K33</x:f>
        <x:v>UNDERSUPPLY_LEANING</x:v>
      </x:c>
    </x:row>
    <x:row r="34">
      <x:c r="A34" t="str">
        <x:v>Tomato</x:v>
      </x:c>
      <x:c r="B34" t="n">
        <x:v>2026</x:v>
      </x:c>
      <x:c r="C34" t="str">
        <x:v>Q3</x:v>
      </x:c>
      <x:c r="D34" t="str">
        <x:v>0403403</x:v>
      </x:c>
      <x:c r="E34" t="str">
        <x:v>Biñan</x:v>
      </x:c>
      <x:c r="F34" s="14" t="n">
        <x:f>'Commodity Benchmark'!E34</x:f>
        <x:v>0.1613783856100605</x:v>
      </x:c>
      <x:c r="G34" s="14" t="n">
        <x:f>'Commodity Benchmark'!G34</x:f>
        <x:v>0.009107475799582982</x:v>
      </x:c>
      <x:c r="H34" s="18" t="n">
        <x:f>'Provincial Inputs'!D3</x:f>
        <x:v>0</x:v>
      </x:c>
      <x:c r="I34" s="18" t="n">
        <x:f>'Provincial Inputs'!E3</x:f>
        <x:v>797.77</x:v>
      </x:c>
      <x:c r="J34" s="18" t="str">
        <x:f>IF(H34="","",H34*F34)</x:f>
      </x:c>
      <x:c r="K34" s="18" t="n">
        <x:f>IF(I34="","",I34*G34)</x:f>
        <x:v>7.265670968633315</x:v>
      </x:c>
      <x:c r="L34" s="18" t="str">
        <x:f>IF(OR(J34="",K34=""),"",J34-K34)</x:f>
      </x:c>
      <x:c r="M34" s="18" t="n">
        <x:f>IFERROR(J34/K34,"")</x:f>
        <x:v>0</x:v>
      </x:c>
      <x:c r="N34" s="16" t="n">
        <x:f>'Commodity Benchmark'!J34</x:f>
        <x:v>95.68965517206897</x:v>
      </x:c>
      <x:c r="O34" t="str">
        <x:f>'Commodity Benchmark'!K34</x:f>
        <x:v>HIGH_OPPORTUNITY</x:v>
      </x:c>
    </x:row>
    <x:row r="35">
      <x:c r="A35" t="str">
        <x:v>Tomato</x:v>
      </x:c>
      <x:c r="B35" t="n">
        <x:v>2026</x:v>
      </x:c>
      <x:c r="C35" t="str">
        <x:v>Q3</x:v>
      </x:c>
      <x:c r="D35" t="str">
        <x:v>0403404</x:v>
      </x:c>
      <x:c r="E35" t="str">
        <x:v>Cabuyao</x:v>
      </x:c>
      <x:c r="F35" s="14" t="n">
        <x:f>'Commodity Benchmark'!E35</x:f>
        <x:v>0.10103667850375411</x:v>
      </x:c>
      <x:c r="G35" s="14" t="n">
        <x:f>'Commodity Benchmark'!G35</x:f>
        <x:v>0.006865938574001924</x:v>
      </x:c>
      <x:c r="H35" s="18" t="n">
        <x:f>'Provincial Inputs'!D3</x:f>
        <x:v>0</x:v>
      </x:c>
      <x:c r="I35" s="18" t="n">
        <x:f>'Provincial Inputs'!E3</x:f>
        <x:v>797.77</x:v>
      </x:c>
      <x:c r="J35" s="18" t="str">
        <x:f>IF(H35="","",H35*F35)</x:f>
      </x:c>
      <x:c r="K35" s="18" t="n">
        <x:f>IF(I35="","",I35*G35)</x:f>
        <x:v>5.477439816181515</x:v>
      </x:c>
      <x:c r="L35" s="18" t="str">
        <x:f>IF(OR(J35="",K35=""),"",J35-K35)</x:f>
      </x:c>
      <x:c r="M35" s="18" t="n">
        <x:f>IFERROR(J35/K35,"")</x:f>
        <x:v>0</x:v>
      </x:c>
      <x:c r="N35" s="16" t="n">
        <x:f>'Commodity Benchmark'!J35</x:f>
        <x:v>92.5287356324138</x:v>
      </x:c>
      <x:c r="O35" t="str">
        <x:f>'Commodity Benchmark'!K35</x:f>
        <x:v>HIGH_OPPORTUNITY</x:v>
      </x:c>
    </x:row>
    <x:row r="36">
      <x:c r="A36" t="str">
        <x:v>Tomato</x:v>
      </x:c>
      <x:c r="B36" t="n">
        <x:v>2026</x:v>
      </x:c>
      <x:c r="C36" t="str">
        <x:v>Q3</x:v>
      </x:c>
      <x:c r="D36" t="str">
        <x:v>0403405</x:v>
      </x:c>
      <x:c r="E36" t="str">
        <x:v>Calamba</x:v>
      </x:c>
      <x:c r="F36" s="14" t="n">
        <x:f>'Commodity Benchmark'!E36</x:f>
        <x:v>0.1580102321719133</x:v>
      </x:c>
      <x:c r="G36" s="14" t="n">
        <x:f>'Commodity Benchmark'!G36</x:f>
        <x:v>0.03783758763828291</x:v>
      </x:c>
      <x:c r="H36" s="18" t="n">
        <x:f>'Provincial Inputs'!D3</x:f>
        <x:v>0</x:v>
      </x:c>
      <x:c r="I36" s="18" t="n">
        <x:f>'Provincial Inputs'!E3</x:f>
        <x:v>797.77</x:v>
      </x:c>
      <x:c r="J36" s="18" t="str">
        <x:f>IF(H36="","",H36*F36)</x:f>
      </x:c>
      <x:c r="K36" s="18" t="n">
        <x:f>IF(I36="","",I36*G36)</x:f>
        <x:v>30.185692290192957</x:v>
      </x:c>
      <x:c r="L36" s="18" t="str">
        <x:f>IF(OR(J36="",K36=""),"",J36-K36)</x:f>
      </x:c>
      <x:c r="M36" s="18" t="n">
        <x:f>IFERROR(J36/K36,"")</x:f>
        <x:v>0</x:v>
      </x:c>
      <x:c r="N36" s="16" t="n">
        <x:f>'Commodity Benchmark'!J36</x:f>
        <x:v>69.25287356103448</x:v>
      </x:c>
      <x:c r="O36" t="str">
        <x:f>'Commodity Benchmark'!K36</x:f>
        <x:v>UNDERSUPPLY_LEANING</x:v>
      </x:c>
    </x:row>
    <x:row r="37">
      <x:c r="A37" t="str">
        <x:v>Tomato</x:v>
      </x:c>
      <x:c r="B37" t="n">
        <x:v>2026</x:v>
      </x:c>
      <x:c r="C37" t="str">
        <x:v>Q3</x:v>
      </x:c>
      <x:c r="D37" t="str">
        <x:v>0403406</x:v>
      </x:c>
      <x:c r="E37" t="str">
        <x:v>Calauan</x:v>
      </x:c>
      <x:c r="F37" s="14" t="n">
        <x:f>'Commodity Benchmark'!E37</x:f>
        <x:v>0.024093603384818266</x:v>
      </x:c>
      <x:c r="G37" s="14" t="n">
        <x:f>'Commodity Benchmark'!G37</x:f>
        <x:v>0.03304180156386202</x:v>
      </x:c>
      <x:c r="H37" s="18" t="n">
        <x:f>'Provincial Inputs'!D3</x:f>
        <x:v>0</x:v>
      </x:c>
      <x:c r="I37" s="18" t="n">
        <x:f>'Provincial Inputs'!E3</x:f>
        <x:v>797.77</x:v>
      </x:c>
      <x:c r="J37" s="18" t="str">
        <x:f>IF(H37="","",H37*F37)</x:f>
      </x:c>
      <x:c r="K37" s="18" t="n">
        <x:f>IF(I37="","",I37*G37)</x:f>
        <x:v>26.359758033602205</x:v>
      </x:c>
      <x:c r="L37" s="18" t="str">
        <x:f>IF(OR(J37="",K37=""),"",J37-K37)</x:f>
      </x:c>
      <x:c r="M37" s="18" t="n">
        <x:f>IFERROR(J37/K37,"")</x:f>
        <x:v>0</x:v>
      </x:c>
      <x:c r="N37" s="16" t="n">
        <x:f>'Commodity Benchmark'!J37</x:f>
        <x:v>59.48275861965517</x:v>
      </x:c>
      <x:c r="O37" t="str">
        <x:f>'Commodity Benchmark'!K37</x:f>
        <x:v>BALANCED</x:v>
      </x:c>
    </x:row>
    <x:row r="38">
      <x:c r="A38" t="str">
        <x:v>Tomato</x:v>
      </x:c>
      <x:c r="B38" t="n">
        <x:v>2026</x:v>
      </x:c>
      <x:c r="C38" t="str">
        <x:v>Q3</x:v>
      </x:c>
      <x:c r="D38" t="str">
        <x:v>0403407</x:v>
      </x:c>
      <x:c r="E38" t="str">
        <x:v>Cavinti</x:v>
      </x:c>
      <x:c r="F38" s="14" t="n">
        <x:f>'Commodity Benchmark'!E38</x:f>
        <x:v>0.006351068303993657</x:v>
      </x:c>
      <x:c r="G38" s="14" t="n">
        <x:f>'Commodity Benchmark'!G38</x:f>
        <x:v>0.1420034196527291</x:v>
      </x:c>
      <x:c r="H38" s="18" t="n">
        <x:f>'Provincial Inputs'!D3</x:f>
        <x:v>0</x:v>
      </x:c>
      <x:c r="I38" s="18" t="n">
        <x:f>'Provincial Inputs'!E3</x:f>
        <x:v>797.77</x:v>
      </x:c>
      <x:c r="J38" s="18" t="str">
        <x:f>IF(H38="","",H38*F38)</x:f>
      </x:c>
      <x:c r="K38" s="18" t="n">
        <x:f>IF(I38="","",I38*G38)</x:f>
        <x:v>113.2860680963577</x:v>
      </x:c>
      <x:c r="L38" s="18" t="str">
        <x:f>IF(OR(J38="",K38=""),"",J38-K38)</x:f>
      </x:c>
      <x:c r="M38" s="18" t="n">
        <x:f>IFERROR(J38/K38,"")</x:f>
        <x:v>0</x:v>
      </x:c>
      <x:c r="N38" s="16" t="n">
        <x:f>'Commodity Benchmark'!J38</x:f>
        <x:v>10.057471263793104</x:v>
      </x:c>
      <x:c r="O38" t="str">
        <x:f>'Commodity Benchmark'!K38</x:f>
        <x:v>SEVERE_OVERSUPPLY</x:v>
      </x:c>
    </x:row>
    <x:row r="39">
      <x:c r="A39" t="str">
        <x:v>Tomato</x:v>
      </x:c>
      <x:c r="B39" t="n">
        <x:v>2026</x:v>
      </x:c>
      <x:c r="C39" t="str">
        <x:v>Q3</x:v>
      </x:c>
      <x:c r="D39" t="str">
        <x:v>0403408</x:v>
      </x:c>
      <x:c r="E39" t="str">
        <x:v>Famy</x:v>
      </x:c>
      <x:c r="F39" s="14" t="n">
        <x:f>'Commodity Benchmark'!E39</x:f>
        <x:v>0.004456411218566179</x:v>
      </x:c>
      <x:c r="G39" s="14" t="n">
        <x:f>'Commodity Benchmark'!G39</x:f>
        <x:v>0.04176109245746278</x:v>
      </x:c>
      <x:c r="H39" s="18" t="n">
        <x:f>'Provincial Inputs'!D3</x:f>
        <x:v>0</x:v>
      </x:c>
      <x:c r="I39" s="18" t="n">
        <x:f>'Provincial Inputs'!E3</x:f>
        <x:v>797.77</x:v>
      </x:c>
      <x:c r="J39" s="18" t="str">
        <x:f>IF(H39="","",H39*F39)</x:f>
      </x:c>
      <x:c r="K39" s="18" t="n">
        <x:f>IF(I39="","",I39*G39)</x:f>
        <x:v>33.315746729790085</x:v>
      </x:c>
      <x:c r="L39" s="18" t="str">
        <x:f>IF(OR(J39="",K39=""),"",J39-K39)</x:f>
      </x:c>
      <x:c r="M39" s="18" t="n">
        <x:f>IFERROR(J39/K39,"")</x:f>
        <x:v>0</x:v>
      </x:c>
      <x:c r="N39" s="16" t="n">
        <x:f>'Commodity Benchmark'!J39</x:f>
        <x:v>10.057471265172413</x:v>
      </x:c>
      <x:c r="O39" t="str">
        <x:f>'Commodity Benchmark'!K39</x:f>
        <x:v>SEVERE_OVERSUPPLY</x:v>
      </x:c>
    </x:row>
    <x:row r="40">
      <x:c r="A40" t="str">
        <x:v>Tomato</x:v>
      </x:c>
      <x:c r="B40" t="n">
        <x:v>2026</x:v>
      </x:c>
      <x:c r="C40" t="str">
        <x:v>Q3</x:v>
      </x:c>
      <x:c r="D40" t="str">
        <x:v>0403409</x:v>
      </x:c>
      <x:c r="E40" t="str">
        <x:v>Kalayaan</x:v>
      </x:c>
      <x:c r="F40" s="14" t="n">
        <x:f>'Commodity Benchmark'!E40</x:f>
        <x:v>0.006983720996791543</x:v>
      </x:c>
      <x:c r="G40" s="14" t="n">
        <x:f>'Commodity Benchmark'!G40</x:f>
        <x:v>0.00789172199460634</x:v>
      </x:c>
      <x:c r="H40" s="18" t="n">
        <x:f>'Provincial Inputs'!D3</x:f>
        <x:v>0</x:v>
      </x:c>
      <x:c r="I40" s="18" t="n">
        <x:f>'Provincial Inputs'!E3</x:f>
        <x:v>797.77</x:v>
      </x:c>
      <x:c r="J40" s="18" t="str">
        <x:f>IF(H40="","",H40*F40)</x:f>
      </x:c>
      <x:c r="K40" s="18" t="n">
        <x:f>IF(I40="","",I40*G40)</x:f>
        <x:v>6.295779055637101</x:v>
      </x:c>
      <x:c r="L40" s="18" t="str">
        <x:f>IF(OR(J40="",K40=""),"",J40-K40)</x:f>
      </x:c>
      <x:c r="M40" s="18" t="n">
        <x:f>IFERROR(J40/K40,"")</x:f>
        <x:v>0</x:v>
      </x:c>
      <x:c r="N40" s="16" t="n">
        <x:f>'Commodity Benchmark'!J40</x:f>
        <x:v>54.88505747344827</x:v>
      </x:c>
      <x:c r="O40" t="str">
        <x:f>'Commodity Benchmark'!K40</x:f>
        <x:v>BALANCED</x:v>
      </x:c>
    </x:row>
    <x:row r="41">
      <x:c r="A41" t="str">
        <x:v>Tomato</x:v>
      </x:c>
      <x:c r="B41" t="n">
        <x:v>2026</x:v>
      </x:c>
      <x:c r="C41" t="str">
        <x:v>Q3</x:v>
      </x:c>
      <x:c r="D41" t="str">
        <x:v>0403410</x:v>
      </x:c>
      <x:c r="E41" t="str">
        <x:v>Liliw</x:v>
      </x:c>
      <x:c r="F41" s="14" t="n">
        <x:f>'Commodity Benchmark'!E41</x:f>
        <x:v>0.009953773620843992</x:v>
      </x:c>
      <x:c r="G41" s="14" t="n">
        <x:f>'Commodity Benchmark'!G41</x:f>
        <x:v>0.0350740937266404</x:v>
      </x:c>
      <x:c r="H41" s="18" t="n">
        <x:f>'Provincial Inputs'!D3</x:f>
        <x:v>0</x:v>
      </x:c>
      <x:c r="I41" s="18" t="n">
        <x:f>'Provincial Inputs'!E3</x:f>
        <x:v>797.77</x:v>
      </x:c>
      <x:c r="J41" s="18" t="str">
        <x:f>IF(H41="","",H41*F41)</x:f>
      </x:c>
      <x:c r="K41" s="18" t="n">
        <x:f>IF(I41="","",I41*G41)</x:f>
        <x:v>27.981059752301913</x:v>
      </x:c>
      <x:c r="L41" s="18" t="str">
        <x:f>IF(OR(J41="",K41=""),"",J41-K41)</x:f>
      </x:c>
      <x:c r="M41" s="18" t="n">
        <x:f>IFERROR(J41/K41,"")</x:f>
        <x:v>0</x:v>
      </x:c>
      <x:c r="N41" s="16" t="n">
        <x:f>'Commodity Benchmark'!J41</x:f>
        <x:v>41.95402298827587</x:v>
      </x:c>
      <x:c r="O41" t="str">
        <x:f>'Commodity Benchmark'!K41</x:f>
        <x:v>BALANCED</x:v>
      </x:c>
    </x:row>
    <x:row r="42">
      <x:c r="A42" t="str">
        <x:v>Tomato</x:v>
      </x:c>
      <x:c r="B42" t="n">
        <x:v>2026</x:v>
      </x:c>
      <x:c r="C42" t="str">
        <x:v>Q3</x:v>
      </x:c>
      <x:c r="D42" t="str">
        <x:v>0403411</x:v>
      </x:c>
      <x:c r="E42" t="str">
        <x:v>Los Baños</x:v>
      </x:c>
      <x:c r="F42" s="14" t="n">
        <x:f>'Commodity Benchmark'!E42</x:f>
        <x:v>0.03220264714835558</x:v>
      </x:c>
      <x:c r="G42" s="14" t="n">
        <x:f>'Commodity Benchmark'!G42</x:f>
        <x:v>0.012130092403279665</x:v>
      </x:c>
      <x:c r="H42" s="18" t="n">
        <x:f>'Provincial Inputs'!D3</x:f>
        <x:v>0</x:v>
      </x:c>
      <x:c r="I42" s="18" t="n">
        <x:f>'Provincial Inputs'!E3</x:f>
        <x:v>797.77</x:v>
      </x:c>
      <x:c r="J42" s="18" t="str">
        <x:f>IF(H42="","",H42*F42)</x:f>
      </x:c>
      <x:c r="K42" s="18" t="n">
        <x:f>IF(I42="","",I42*G42)</x:f>
        <x:v>9.677023816564418</x:v>
      </x:c>
      <x:c r="L42" s="18" t="str">
        <x:f>IF(OR(J42="",K42=""),"",J42-K42)</x:f>
      </x:c>
      <x:c r="M42" s="18" t="n">
        <x:f>IFERROR(J42/K42,"")</x:f>
        <x:v>0</x:v>
      </x:c>
      <x:c r="N42" s="16" t="n">
        <x:f>'Commodity Benchmark'!J42</x:f>
        <x:v>77.29885057482758</x:v>
      </x:c>
      <x:c r="O42" t="str">
        <x:f>'Commodity Benchmark'!K42</x:f>
        <x:v>HIGH_OPPORTUNITY</x:v>
      </x:c>
    </x:row>
    <x:row r="43">
      <x:c r="A43" t="str">
        <x:v>Tomato</x:v>
      </x:c>
      <x:c r="B43" t="n">
        <x:v>2026</x:v>
      </x:c>
      <x:c r="C43" t="str">
        <x:v>Q3</x:v>
      </x:c>
      <x:c r="D43" t="str">
        <x:v>0403412</x:v>
      </x:c>
      <x:c r="E43" t="str">
        <x:v>Luisiana</x:v>
      </x:c>
      <x:c r="F43" s="14" t="n">
        <x:f>'Commodity Benchmark'!E43</x:f>
        <x:v>0.005434039311119153</x:v>
      </x:c>
      <x:c r="G43" s="14" t="n">
        <x:f>'Commodity Benchmark'!G43</x:f>
        <x:v>0.05547751765858301</x:v>
      </x:c>
      <x:c r="H43" s="18" t="n">
        <x:f>'Provincial Inputs'!D3</x:f>
        <x:v>0</x:v>
      </x:c>
      <x:c r="I43" s="18" t="n">
        <x:f>'Provincial Inputs'!E3</x:f>
        <x:v>797.77</x:v>
      </x:c>
      <x:c r="J43" s="18" t="str">
        <x:f>IF(H43="","",H43*F43)</x:f>
      </x:c>
      <x:c r="K43" s="18" t="n">
        <x:f>IF(I43="","",I43*G43)</x:f>
        <x:v>44.25829926248777</x:v>
      </x:c>
      <x:c r="L43" s="18" t="str">
        <x:f>IF(OR(J43="",K43=""),"",J43-K43)</x:f>
      </x:c>
      <x:c r="M43" s="18" t="n">
        <x:f>IFERROR(J43/K43,"")</x:f>
        <x:v>0</x:v>
      </x:c>
      <x:c r="N43" s="16" t="n">
        <x:f>'Commodity Benchmark'!J43</x:f>
        <x:v>11.781609195517241</x:v>
      </x:c>
      <x:c r="O43" t="str">
        <x:f>'Commodity Benchmark'!K43</x:f>
        <x:v>SEVERE_OVERSUPPLY</x:v>
      </x:c>
    </x:row>
    <x:row r="44">
      <x:c r="A44" t="str">
        <x:v>Tomato</x:v>
      </x:c>
      <x:c r="B44" t="n">
        <x:v>2026</x:v>
      </x:c>
      <x:c r="C44" t="str">
        <x:v>Q3</x:v>
      </x:c>
      <x:c r="D44" t="str">
        <x:v>0403413</x:v>
      </x:c>
      <x:c r="E44" t="str">
        <x:v>Lumban</x:v>
      </x:c>
      <x:c r="F44" s="14" t="n">
        <x:f>'Commodity Benchmark'!E44</x:f>
        <x:v>0.00834397989490821</x:v>
      </x:c>
      <x:c r="G44" s="14" t="n">
        <x:f>'Commodity Benchmark'!G44</x:f>
        <x:v>0.027258967605671168</x:v>
      </x:c>
      <x:c r="H44" s="18" t="n">
        <x:f>'Provincial Inputs'!D3</x:f>
        <x:v>0</x:v>
      </x:c>
      <x:c r="I44" s="18" t="n">
        <x:f>'Provincial Inputs'!E3</x:f>
        <x:v>797.77</x:v>
      </x:c>
      <x:c r="J44" s="18" t="str">
        <x:f>IF(H44="","",H44*F44)</x:f>
      </x:c>
      <x:c r="K44" s="18" t="n">
        <x:f>IF(I44="","",I44*G44)</x:f>
        <x:v>21.746386586776286</x:v>
      </x:c>
      <x:c r="L44" s="18" t="str">
        <x:f>IF(OR(J44="",K44=""),"",J44-K44)</x:f>
      </x:c>
      <x:c r="M44" s="18" t="n">
        <x:f>IFERROR(J44/K44,"")</x:f>
        <x:v>0</x:v>
      </x:c>
      <x:c r="N44" s="16" t="n">
        <x:f>'Commodity Benchmark'!J44</x:f>
        <x:v>42.24137931068965</x:v>
      </x:c>
      <x:c r="O44" t="str">
        <x:f>'Commodity Benchmark'!K44</x:f>
        <x:v>BALANCED</x:v>
      </x:c>
    </x:row>
    <x:row r="45">
      <x:c r="A45" t="str">
        <x:v>Tomato</x:v>
      </x:c>
      <x:c r="B45" t="n">
        <x:v>2026</x:v>
      </x:c>
      <x:c r="C45" t="str">
        <x:v>Q3</x:v>
      </x:c>
      <x:c r="D45" t="str">
        <x:v>0403414</x:v>
      </x:c>
      <x:c r="E45" t="str">
        <x:v>Mabitac</x:v>
      </x:c>
      <x:c r="F45" s="14" t="n">
        <x:f>'Commodity Benchmark'!E45</x:f>
        <x:v>0.005415115787125153</x:v>
      </x:c>
      <x:c r="G45" s="14" t="n">
        <x:f>'Commodity Benchmark'!G45</x:f>
        <x:v>0.06658224770941706</x:v>
      </x:c>
      <x:c r="H45" s="18" t="n">
        <x:f>'Provincial Inputs'!D3</x:f>
        <x:v>0</x:v>
      </x:c>
      <x:c r="I45" s="18" t="n">
        <x:f>'Provincial Inputs'!E3</x:f>
        <x:v>797.77</x:v>
      </x:c>
      <x:c r="J45" s="18" t="str">
        <x:f>IF(H45="","",H45*F45)</x:f>
      </x:c>
      <x:c r="K45" s="18" t="n">
        <x:f>IF(I45="","",I45*G45)</x:f>
        <x:v>53.11731975514165</x:v>
      </x:c>
      <x:c r="L45" s="18" t="str">
        <x:f>IF(OR(J45="",K45=""),"",J45-K45)</x:f>
      </x:c>
      <x:c r="M45" s="18" t="n">
        <x:f>IFERROR(J45/K45,"")</x:f>
        <x:v>0</x:v>
      </x:c>
      <x:c r="N45" s="16" t="n">
        <x:f>'Commodity Benchmark'!J45</x:f>
        <x:v>8.333333333448277</x:v>
      </x:c>
      <x:c r="O45" t="str">
        <x:f>'Commodity Benchmark'!K45</x:f>
        <x:v>SEVERE_OVERSUPPLY</x:v>
      </x:c>
    </x:row>
    <x:row r="46">
      <x:c r="A46" t="str">
        <x:v>Tomato</x:v>
      </x:c>
      <x:c r="B46" t="n">
        <x:v>2026</x:v>
      </x:c>
      <x:c r="C46" t="str">
        <x:v>Q3</x:v>
      </x:c>
      <x:c r="D46" t="str">
        <x:v>0403415</x:v>
      </x:c>
      <x:c r="E46" t="str">
        <x:v>Magdalena</x:v>
      </x:c>
      <x:c r="F46" s="14" t="n">
        <x:f>'Commodity Benchmark'!E46</x:f>
        <x:v>0.007043356380044857</x:v>
      </x:c>
      <x:c r="G46" s="14" t="n">
        <x:f>'Commodity Benchmark'!G46</x:f>
        <x:v>0.02478357274477985</x:v>
      </x:c>
      <x:c r="H46" s="18" t="n">
        <x:f>'Provincial Inputs'!D3</x:f>
        <x:v>0</x:v>
      </x:c>
      <x:c r="I46" s="18" t="n">
        <x:f>'Provincial Inputs'!E3</x:f>
        <x:v>797.77</x:v>
      </x:c>
      <x:c r="J46" s="18" t="str">
        <x:f>IF(H46="","",H46*F46)</x:f>
      </x:c>
      <x:c r="K46" s="18" t="n">
        <x:f>IF(I46="","",I46*G46)</x:f>
        <x:v>19.77159082860302</x:v>
      </x:c>
      <x:c r="L46" s="18" t="str">
        <x:f>IF(OR(J46="",K46=""),"",J46-K46)</x:f>
      </x:c>
      <x:c r="M46" s="18" t="n">
        <x:f>IFERROR(J46/K46,"")</x:f>
        <x:v>0</x:v>
      </x:c>
      <x:c r="N46" s="16" t="n">
        <x:f>'Commodity Benchmark'!J46</x:f>
        <x:v>39.65517241448276</x:v>
      </x:c>
      <x:c r="O46" t="str">
        <x:f>'Commodity Benchmark'!K46</x:f>
        <x:v>OVERSUPPLY_LEANING</x:v>
      </x:c>
    </x:row>
    <x:row r="47">
      <x:c r="A47" t="str">
        <x:v>Tomato</x:v>
      </x:c>
      <x:c r="B47" t="n">
        <x:v>2026</x:v>
      </x:c>
      <x:c r="C47" t="str">
        <x:v>Q3</x:v>
      </x:c>
      <x:c r="D47" t="str">
        <x:v>0403416</x:v>
      </x:c>
      <x:c r="E47" t="str">
        <x:v>Majayjay</x:v>
      </x:c>
      <x:c r="F47" s="14" t="n">
        <x:f>'Commodity Benchmark'!E47</x:f>
        <x:v>0.007097317472697046</x:v>
      </x:c>
      <x:c r="G47" s="14" t="n">
        <x:f>'Commodity Benchmark'!G47</x:f>
        <x:v>0.04449460321419034</x:v>
      </x:c>
      <x:c r="H47" s="18" t="n">
        <x:f>'Provincial Inputs'!D3</x:f>
        <x:v>0</x:v>
      </x:c>
      <x:c r="I47" s="18" t="n">
        <x:f>'Provincial Inputs'!E3</x:f>
        <x:v>797.77</x:v>
      </x:c>
      <x:c r="J47" s="18" t="str">
        <x:f>IF(H47="","",H47*F47)</x:f>
      </x:c>
      <x:c r="K47" s="18" t="n">
        <x:f>IF(I47="","",I47*G47)</x:f>
        <x:v>35.49645960618463</x:v>
      </x:c>
      <x:c r="L47" s="18" t="str">
        <x:f>IF(OR(J47="",K47=""),"",J47-K47)</x:f>
      </x:c>
      <x:c r="M47" s="18" t="n">
        <x:f>IFERROR(J47/K47,"")</x:f>
        <x:v>0</x:v>
      </x:c>
      <x:c r="N47" s="16" t="n">
        <x:f>'Commodity Benchmark'!J47</x:f>
        <x:v>27.298850574137933</x:v>
      </x:c>
      <x:c r="O47" t="str">
        <x:f>'Commodity Benchmark'!K47</x:f>
        <x:v>OVERSUPPLY_LEANING</x:v>
      </x:c>
    </x:row>
    <x:row r="48">
      <x:c r="A48" t="str">
        <x:v>Tomato</x:v>
      </x:c>
      <x:c r="B48" t="n">
        <x:v>2026</x:v>
      </x:c>
      <x:c r="C48" t="str">
        <x:v>Q3</x:v>
      </x:c>
      <x:c r="D48" t="str">
        <x:v>0403417</x:v>
      </x:c>
      <x:c r="E48" t="str">
        <x:v>Nagcarlan</x:v>
      </x:c>
      <x:c r="F48" s="14" t="n">
        <x:f>'Commodity Benchmark'!E48</x:f>
        <x:v>0.017062504551444698</x:v>
      </x:c>
      <x:c r="G48" s="14" t="n">
        <x:f>'Commodity Benchmark'!G48</x:f>
        <x:v>0.042201890466446165</x:v>
      </x:c>
      <x:c r="H48" s="18" t="n">
        <x:f>'Provincial Inputs'!D3</x:f>
        <x:v>0</x:v>
      </x:c>
      <x:c r="I48" s="18" t="n">
        <x:f>'Provincial Inputs'!E3</x:f>
        <x:v>797.77</x:v>
      </x:c>
      <x:c r="J48" s="18" t="str">
        <x:f>IF(H48="","",H48*F48)</x:f>
      </x:c>
      <x:c r="K48" s="18" t="n">
        <x:f>IF(I48="","",I48*G48)</x:f>
        <x:v>33.66740215741676</x:v>
      </x:c>
      <x:c r="L48" s="18" t="str">
        <x:f>IF(OR(J48="",K48=""),"",J48-K48)</x:f>
      </x:c>
      <x:c r="M48" s="18" t="n">
        <x:f>IFERROR(J48/K48,"")</x:f>
        <x:v>0</x:v>
      </x:c>
      <x:c r="N48" s="16" t="n">
        <x:f>'Commodity Benchmark'!J48</x:f>
        <x:v>46.83908045827587</x:v>
      </x:c>
      <x:c r="O48" t="str">
        <x:f>'Commodity Benchmark'!K48</x:f>
        <x:v>BALANCED</x:v>
      </x:c>
    </x:row>
    <x:row r="49">
      <x:c r="A49" t="str">
        <x:v>Tomato</x:v>
      </x:c>
      <x:c r="B49" t="n">
        <x:v>2026</x:v>
      </x:c>
      <x:c r="C49" t="str">
        <x:v>Q3</x:v>
      </x:c>
      <x:c r="D49" t="str">
        <x:v>0403418</x:v>
      </x:c>
      <x:c r="E49" t="str">
        <x:v>Paete</x:v>
      </x:c>
      <x:c r="F49" s="14" t="n">
        <x:f>'Commodity Benchmark'!E49</x:f>
        <x:v>0.006645111481574426</x:v>
      </x:c>
      <x:c r="G49" s="14" t="n">
        <x:f>'Commodity Benchmark'!G49</x:f>
        <x:v>0.024067935528855597</x:v>
      </x:c>
      <x:c r="H49" s="18" t="n">
        <x:f>'Provincial Inputs'!D3</x:f>
        <x:v>0</x:v>
      </x:c>
      <x:c r="I49" s="18" t="n">
        <x:f>'Provincial Inputs'!E3</x:f>
        <x:v>797.77</x:v>
      </x:c>
      <x:c r="J49" s="18" t="str">
        <x:f>IF(H49="","",H49*F49)</x:f>
      </x:c>
      <x:c r="K49" s="18" t="n">
        <x:f>IF(I49="","",I49*G49)</x:f>
        <x:v>19.200676926855127</x:v>
      </x:c>
      <x:c r="L49" s="18" t="str">
        <x:f>IF(OR(J49="",K49=""),"",J49-K49)</x:f>
      </x:c>
      <x:c r="M49" s="18" t="n">
        <x:f>IFERROR(J49/K49,"")</x:f>
        <x:v>0</x:v>
      </x:c>
      <x:c r="N49" s="16" t="n">
        <x:f>'Commodity Benchmark'!J49</x:f>
        <x:v>35.057471265517236</x:v>
      </x:c>
      <x:c r="O49" t="str">
        <x:f>'Commodity Benchmark'!K49</x:f>
        <x:v>OVERSUPPLY_LEANING</x:v>
      </x:c>
    </x:row>
    <x:row r="50">
      <x:c r="A50" t="str">
        <x:v>Tomato</x:v>
      </x:c>
      <x:c r="B50" t="n">
        <x:v>2026</x:v>
      </x:c>
      <x:c r="C50" t="str">
        <x:v>Q3</x:v>
      </x:c>
      <x:c r="D50" t="str">
        <x:v>0403419</x:v>
      </x:c>
      <x:c r="E50" t="str">
        <x:v>Pagsanjan</x:v>
      </x:c>
      <x:c r="F50" s="14" t="n">
        <x:f>'Commodity Benchmark'!E50</x:f>
        <x:v>0.012028319385316677</x:v>
      </x:c>
      <x:c r="G50" s="14" t="n">
        <x:f>'Commodity Benchmark'!G50</x:f>
        <x:v>0.013559191358923776</x:v>
      </x:c>
      <x:c r="H50" s="18" t="n">
        <x:f>'Provincial Inputs'!D3</x:f>
        <x:v>0</x:v>
      </x:c>
      <x:c r="I50" s="18" t="n">
        <x:f>'Provincial Inputs'!E3</x:f>
        <x:v>797.77</x:v>
      </x:c>
      <x:c r="J50" s="18" t="str">
        <x:f>IF(H50="","",H50*F50)</x:f>
      </x:c>
      <x:c r="K50" s="18" t="n">
        <x:f>IF(I50="","",I50*G50)</x:f>
        <x:v>10.817116090408621</x:v>
      </x:c>
      <x:c r="L50" s="18" t="str">
        <x:f>IF(OR(J50="",K50=""),"",J50-K50)</x:f>
      </x:c>
      <x:c r="M50" s="18" t="n">
        <x:f>IFERROR(J50/K50,"")</x:f>
        <x:v>0</x:v>
      </x:c>
      <x:c r="N50" s="16" t="n">
        <x:f>'Commodity Benchmark'!J50</x:f>
        <x:v>60.34482758689656</x:v>
      </x:c>
      <x:c r="O50" t="str">
        <x:f>'Commodity Benchmark'!K50</x:f>
        <x:v>UNDERSUPPLY_LEANING</x:v>
      </x:c>
    </x:row>
    <x:row r="51">
      <x:c r="A51" t="str">
        <x:v>Tomato</x:v>
      </x:c>
      <x:c r="B51" t="n">
        <x:v>2026</x:v>
      </x:c>
      <x:c r="C51" t="str">
        <x:v>Q3</x:v>
      </x:c>
      <x:c r="D51" t="str">
        <x:v>0403420</x:v>
      </x:c>
      <x:c r="E51" t="str">
        <x:v>Pakil</x:v>
      </x:c>
      <x:c r="F51" s="14" t="n">
        <x:f>'Commodity Benchmark'!E51</x:f>
        <x:v>0.005968877857686415</x:v>
      </x:c>
      <x:c r="G51" s="14" t="n">
        <x:f>'Commodity Benchmark'!G51</x:f>
        <x:v>0.04148809288783449</x:v>
      </x:c>
      <x:c r="H51" s="18" t="n">
        <x:f>'Provincial Inputs'!D3</x:f>
        <x:v>0</x:v>
      </x:c>
      <x:c r="I51" s="18" t="n">
        <x:f>'Provincial Inputs'!E3</x:f>
        <x:v>797.77</x:v>
      </x:c>
      <x:c r="J51" s="18" t="str">
        <x:f>IF(H51="","",H51*F51)</x:f>
      </x:c>
      <x:c r="K51" s="18" t="n">
        <x:f>IF(I51="","",I51*G51)</x:f>
        <x:v>33.09795586312772</x:v>
      </x:c>
      <x:c r="L51" s="18" t="str">
        <x:f>IF(OR(J51="",K51=""),"",J51-K51)</x:f>
      </x:c>
      <x:c r="M51" s="18" t="n">
        <x:f>IFERROR(J51/K51,"")</x:f>
        <x:v>0</x:v>
      </x:c>
      <x:c r="N51" s="16" t="n">
        <x:f>'Commodity Benchmark'!J51</x:f>
        <x:v>19.540229885517242</x:v>
      </x:c>
      <x:c r="O51" t="str">
        <x:f>'Commodity Benchmark'!K51</x:f>
        <x:v>SEVERE_OVERSUPPLY</x:v>
      </x:c>
    </x:row>
    <x:row r="52">
      <x:c r="A52" t="str">
        <x:v>Tomato</x:v>
      </x:c>
      <x:c r="B52" t="n">
        <x:v>2026</x:v>
      </x:c>
      <x:c r="C52" t="str">
        <x:v>Q3</x:v>
      </x:c>
      <x:c r="D52" t="str">
        <x:v>0403421</x:v>
      </x:c>
      <x:c r="E52" t="str">
        <x:v>Pangil</x:v>
      </x:c>
      <x:c r="F52" s="14" t="n">
        <x:f>'Commodity Benchmark'!E52</x:f>
        <x:v>0.006673859468441977</x:v>
      </x:c>
      <x:c r="G52" s="14" t="n">
        <x:f>'Commodity Benchmark'!G52</x:f>
        <x:v>0.01864809915975401</x:v>
      </x:c>
      <x:c r="H52" s="18" t="n">
        <x:f>'Provincial Inputs'!D3</x:f>
        <x:v>0</x:v>
      </x:c>
      <x:c r="I52" s="18" t="n">
        <x:f>'Provincial Inputs'!E3</x:f>
        <x:v>797.77</x:v>
      </x:c>
      <x:c r="J52" s="18" t="str">
        <x:f>IF(H52="","",H52*F52)</x:f>
      </x:c>
      <x:c r="K52" s="18" t="n">
        <x:f>IF(I52="","",I52*G52)</x:f>
        <x:v>14.876894066676956</x:v>
      </x:c>
      <x:c r="L52" s="18" t="str">
        <x:f>IF(OR(J52="",K52=""),"",J52-K52)</x:f>
      </x:c>
      <x:c r="M52" s="18" t="n">
        <x:f>IFERROR(J52/K52,"")</x:f>
        <x:v>0</x:v>
      </x:c>
      <x:c r="N52" s="16" t="n">
        <x:f>'Commodity Benchmark'!J52</x:f>
        <x:v>39.94252873689655</x:v>
      </x:c>
      <x:c r="O52" t="str">
        <x:f>'Commodity Benchmark'!K52</x:f>
        <x:v>OVERSUPPLY_LEANING</x:v>
      </x:c>
    </x:row>
    <x:row r="53">
      <x:c r="A53" t="str">
        <x:v>Tomato</x:v>
      </x:c>
      <x:c r="B53" t="n">
        <x:v>2026</x:v>
      </x:c>
      <x:c r="C53" t="str">
        <x:v>Q3</x:v>
      </x:c>
      <x:c r="D53" t="str">
        <x:v>0403422</x:v>
      </x:c>
      <x:c r="E53" t="str">
        <x:v>Pila</x:v>
      </x:c>
      <x:c r="F53" s="14" t="n">
        <x:f>'Commodity Benchmark'!E53</x:f>
        <x:v>0.015159501832278247</x:v>
      </x:c>
      <x:c r="G53" s="14" t="n">
        <x:f>'Commodity Benchmark'!G53</x:f>
        <x:v>0.013484563752241406</x:v>
      </x:c>
      <x:c r="H53" s="18" t="n">
        <x:f>'Provincial Inputs'!D3</x:f>
        <x:v>0</x:v>
      </x:c>
      <x:c r="I53" s="18" t="n">
        <x:f>'Provincial Inputs'!E3</x:f>
        <x:v>797.77</x:v>
      </x:c>
      <x:c r="J53" s="18" t="str">
        <x:f>IF(H53="","",H53*F53)</x:f>
      </x:c>
      <x:c r="K53" s="18" t="n">
        <x:f>IF(I53="","",I53*G53)</x:f>
        <x:v>10.757580424625626</x:v>
      </x:c>
      <x:c r="L53" s="18" t="str">
        <x:f>IF(OR(J53="",K53=""),"",J53-K53)</x:f>
      </x:c>
      <x:c r="M53" s="18" t="n">
        <x:f>IFERROR(J53/K53,"")</x:f>
        <x:v>0</x:v>
      </x:c>
      <x:c r="N53" s="16" t="n">
        <x:f>'Commodity Benchmark'!J53</x:f>
        <x:v>67.81609195448277</x:v>
      </x:c>
      <x:c r="O53" t="str">
        <x:f>'Commodity Benchmark'!K53</x:f>
        <x:v>UNDERSUPPLY_LEANING</x:v>
      </x:c>
    </x:row>
    <x:row r="54">
      <x:c r="A54" t="str">
        <x:v>Tomato</x:v>
      </x:c>
      <x:c r="B54" t="n">
        <x:v>2026</x:v>
      </x:c>
      <x:c r="C54" t="str">
        <x:v>Q3</x:v>
      </x:c>
      <x:c r="D54" t="str">
        <x:v>0403423</x:v>
      </x:c>
      <x:c r="E54" t="str">
        <x:v>Rizal</x:v>
      </x:c>
      <x:c r="F54" s="14" t="n">
        <x:f>'Commodity Benchmark'!E54</x:f>
        <x:v>0.0047565134097373426</x:v>
      </x:c>
      <x:c r="G54" s="14" t="n">
        <x:f>'Commodity Benchmark'!G54</x:f>
        <x:v>0.022960830778372545</x:v>
      </x:c>
      <x:c r="H54" s="18" t="n">
        <x:f>'Provincial Inputs'!D3</x:f>
        <x:v>0</x:v>
      </x:c>
      <x:c r="I54" s="18" t="n">
        <x:f>'Provincial Inputs'!E3</x:f>
        <x:v>797.77</x:v>
      </x:c>
      <x:c r="J54" s="18" t="str">
        <x:f>IF(H54="","",H54*F54)</x:f>
      </x:c>
      <x:c r="K54" s="18" t="n">
        <x:f>IF(I54="","",I54*G54)</x:f>
        <x:v>18.317461970062265</x:v>
      </x:c>
      <x:c r="L54" s="18" t="str">
        <x:f>IF(OR(J54="",K54=""),"",J54-K54)</x:f>
      </x:c>
      <x:c r="M54" s="18" t="n">
        <x:f>IFERROR(J54/K54,"")</x:f>
        <x:v>0</x:v>
      </x:c>
      <x:c r="N54" s="16" t="n">
        <x:f>'Commodity Benchmark'!J54</x:f>
        <x:v>26.43678161103448</x:v>
      </x:c>
      <x:c r="O54" t="str">
        <x:f>'Commodity Benchmark'!K54</x:f>
        <x:v>OVERSUPPLY_LEANING</x:v>
      </x:c>
    </x:row>
    <x:row r="55">
      <x:c r="A55" t="str">
        <x:v>Tomato</x:v>
      </x:c>
      <x:c r="B55" t="n">
        <x:v>2026</x:v>
      </x:c>
      <x:c r="C55" t="str">
        <x:v>Q3</x:v>
      </x:c>
      <x:c r="D55" t="str">
        <x:v>0403424</x:v>
      </x:c>
      <x:c r="E55" t="str">
        <x:v>San Pablo</x:v>
      </x:c>
      <x:c r="F55" s="14" t="n">
        <x:f>'Commodity Benchmark'!E55</x:f>
        <x:v>0.08012899906025256</x:v>
      </x:c>
      <x:c r="G55" s="14" t="n">
        <x:f>'Commodity Benchmark'!G55</x:f>
        <x:v>0.07992455236001429</x:v>
      </x:c>
      <x:c r="H55" s="18" t="n">
        <x:f>'Provincial Inputs'!D3</x:f>
        <x:v>0</x:v>
      </x:c>
      <x:c r="I55" s="18" t="n">
        <x:f>'Provincial Inputs'!E3</x:f>
        <x:v>797.77</x:v>
      </x:c>
      <x:c r="J55" s="18" t="str">
        <x:f>IF(H55="","",H55*F55)</x:f>
      </x:c>
      <x:c r="K55" s="18" t="n">
        <x:f>IF(I55="","",I55*G55)</x:f>
        <x:v>63.7614101362486</x:v>
      </x:c>
      <x:c r="L55" s="18" t="str">
        <x:f>IF(OR(J55="",K55=""),"",J55-K55)</x:f>
      </x:c>
      <x:c r="M55" s="18" t="n">
        <x:f>IFERROR(J55/K55,"")</x:f>
        <x:v>0</x:v>
      </x:c>
      <x:c r="N55" s="16" t="n">
        <x:f>'Commodity Benchmark'!J55</x:f>
        <x:v>49.71264367551724</x:v>
      </x:c>
      <x:c r="O55" t="str">
        <x:f>'Commodity Benchmark'!K55</x:f>
        <x:v>BALANCED</x:v>
      </x:c>
    </x:row>
    <x:row r="56">
      <x:c r="A56" t="str">
        <x:v>Tomato</x:v>
      </x:c>
      <x:c r="B56" t="n">
        <x:v>2026</x:v>
      </x:c>
      <x:c r="C56" t="str">
        <x:v>Q3</x:v>
      </x:c>
      <x:c r="D56" t="str">
        <x:v>0403425</x:v>
      </x:c>
      <x:c r="E56" t="str">
        <x:v>San Pedro</x:v>
      </x:c>
      <x:c r="F56" s="14" t="n">
        <x:f>'Commodity Benchmark'!E56</x:f>
        <x:v>0.09592749434916523</x:v>
      </x:c>
      <x:c r="G56" s="14" t="n">
        <x:f>'Commodity Benchmark'!G56</x:f>
        <x:v>0.006455144053622245</x:v>
      </x:c>
      <x:c r="H56" s="18" t="n">
        <x:f>'Provincial Inputs'!D3</x:f>
        <x:v>0</x:v>
      </x:c>
      <x:c r="I56" s="18" t="n">
        <x:f>'Provincial Inputs'!E3</x:f>
        <x:v>797.77</x:v>
      </x:c>
      <x:c r="J56" s="18" t="str">
        <x:f>IF(H56="","",H56*F56)</x:f>
      </x:c>
      <x:c r="K56" s="18" t="n">
        <x:f>IF(I56="","",I56*G56)</x:f>
        <x:v>5.149720271658218</x:v>
      </x:c>
      <x:c r="L56" s="18" t="str">
        <x:f>IF(OR(J56="",K56=""),"",J56-K56)</x:f>
      </x:c>
      <x:c r="M56" s="18" t="n">
        <x:f>IFERROR(J56/K56,"")</x:f>
        <x:v>0</x:v>
      </x:c>
      <x:c r="N56" s="16" t="n">
        <x:f>'Commodity Benchmark'!J56</x:f>
        <x:v>91.95402298896552</x:v>
      </x:c>
      <x:c r="O56" t="str">
        <x:f>'Commodity Benchmark'!K56</x:f>
        <x:v>HIGH_OPPORTUNITY</x:v>
      </x:c>
    </x:row>
    <x:row r="57">
      <x:c r="A57" t="str">
        <x:v>Tomato</x:v>
      </x:c>
      <x:c r="B57" t="n">
        <x:v>2026</x:v>
      </x:c>
      <x:c r="C57" t="str">
        <x:v>Q3</x:v>
      </x:c>
      <x:c r="D57" t="str">
        <x:v>0403426</x:v>
      </x:c>
      <x:c r="E57" t="str">
        <x:v>Santa Cruz</x:v>
      </x:c>
      <x:c r="F57" s="14" t="n">
        <x:f>'Commodity Benchmark'!E57</x:f>
        <x:v>0.03427145653978878</x:v>
      </x:c>
      <x:c r="G57" s="14" t="n">
        <x:f>'Commodity Benchmark'!G57</x:f>
        <x:v>0.013562961206014731</x:v>
      </x:c>
      <x:c r="H57" s="18" t="n">
        <x:f>'Provincial Inputs'!D3</x:f>
        <x:v>0</x:v>
      </x:c>
      <x:c r="I57" s="18" t="n">
        <x:f>'Provincial Inputs'!E3</x:f>
        <x:v>797.77</x:v>
      </x:c>
      <x:c r="J57" s="18" t="str">
        <x:f>IF(H57="","",H57*F57)</x:f>
      </x:c>
      <x:c r="K57" s="18" t="n">
        <x:f>IF(I57="","",I57*G57)</x:f>
        <x:v>10.820123561322372</x:v>
      </x:c>
      <x:c r="L57" s="18" t="str">
        <x:f>IF(OR(J57="",K57=""),"",J57-K57)</x:f>
      </x:c>
      <x:c r="M57" s="18" t="n">
        <x:f>IFERROR(J57/K57,"")</x:f>
        <x:v>0</x:v>
      </x:c>
      <x:c r="N57" s="16" t="n">
        <x:f>'Commodity Benchmark'!J57</x:f>
        <x:v>74.99999999965519</x:v>
      </x:c>
      <x:c r="O57" t="str">
        <x:f>'Commodity Benchmark'!K57</x:f>
        <x:v>UNDERSUPPLY_LEANING</x:v>
      </x:c>
    </x:row>
    <x:row r="58">
      <x:c r="A58" t="str">
        <x:v>Tomato</x:v>
      </x:c>
      <x:c r="B58" t="n">
        <x:v>2026</x:v>
      </x:c>
      <x:c r="C58" t="str">
        <x:v>Q3</x:v>
      </x:c>
      <x:c r="D58" t="str">
        <x:v>0403427</x:v>
      </x:c>
      <x:c r="E58" t="str">
        <x:v>Santa Maria</x:v>
      </x:c>
      <x:c r="F58" s="14" t="n">
        <x:f>'Commodity Benchmark'!E58</x:f>
        <x:v>0.008491184411097202</x:v>
      </x:c>
      <x:c r="G58" s="14" t="n">
        <x:f>'Commodity Benchmark'!G58</x:f>
        <x:v>0.07537639284798649</x:v>
      </x:c>
      <x:c r="H58" s="18" t="n">
        <x:f>'Provincial Inputs'!D3</x:f>
        <x:v>0</x:v>
      </x:c>
      <x:c r="I58" s="18" t="n">
        <x:f>'Provincial Inputs'!E3</x:f>
        <x:v>797.77</x:v>
      </x:c>
      <x:c r="J58" s="18" t="str">
        <x:f>IF(H58="","",H58*F58)</x:f>
      </x:c>
      <x:c r="K58" s="18" t="n">
        <x:f>IF(I58="","",I58*G58)</x:f>
        <x:v>60.13302492233818</x:v>
      </x:c>
      <x:c r="L58" s="18" t="str">
        <x:f>IF(OR(J58="",K58=""),"",J58-K58)</x:f>
      </x:c>
      <x:c r="M58" s="18" t="n">
        <x:f>IFERROR(J58/K58,"")</x:f>
        <x:v>0</x:v>
      </x:c>
      <x:c r="N58" s="16" t="n">
        <x:f>'Commodity Benchmark'!J58</x:f>
        <x:v>27.011494251724137</x:v>
      </x:c>
      <x:c r="O58" t="str">
        <x:f>'Commodity Benchmark'!K58</x:f>
        <x:v>OVERSUPPLY_LEANING</x:v>
      </x:c>
    </x:row>
    <x:row r="59">
      <x:c r="A59" t="str">
        <x:v>Tomato</x:v>
      </x:c>
      <x:c r="B59" t="n">
        <x:v>2026</x:v>
      </x:c>
      <x:c r="C59" t="str">
        <x:v>Q3</x:v>
      </x:c>
      <x:c r="D59" t="str">
        <x:v>0403428</x:v>
      </x:c>
      <x:c r="E59" t="str">
        <x:v>Santa Rosa</x:v>
      </x:c>
      <x:c r="F59" s="14" t="n">
        <x:f>'Commodity Benchmark'!E59</x:f>
        <x:v>0.11921820116219989</x:v>
      </x:c>
      <x:c r="G59" s="14" t="n">
        <x:f>'Commodity Benchmark'!G59</x:f>
        <x:v>0.01055514999455592</x:v>
      </x:c>
      <x:c r="H59" s="18" t="n">
        <x:f>'Provincial Inputs'!D3</x:f>
        <x:v>0</x:v>
      </x:c>
      <x:c r="I59" s="18" t="n">
        <x:f>'Provincial Inputs'!E3</x:f>
        <x:v>797.77</x:v>
      </x:c>
      <x:c r="J59" s="18" t="str">
        <x:f>IF(H59="","",H59*F59)</x:f>
      </x:c>
      <x:c r="K59" s="18" t="n">
        <x:f>IF(I59="","",I59*G59)</x:f>
        <x:v>8.420582011156876</x:v>
      </x:c>
      <x:c r="L59" s="18" t="str">
        <x:f>IF(OR(J59="",K59=""),"",J59-K59)</x:f>
      </x:c>
      <x:c r="M59" s="18" t="n">
        <x:f>IFERROR(J59/K59,"")</x:f>
        <x:v>0</x:v>
      </x:c>
      <x:c r="N59" s="16" t="n">
        <x:f>'Commodity Benchmark'!J59</x:f>
        <x:v>88.79310344793103</x:v>
      </x:c>
      <x:c r="O59" t="str">
        <x:f>'Commodity Benchmark'!K59</x:f>
        <x:v>HIGH_OPPORTUNITY</x:v>
      </x:c>
    </x:row>
    <x:row r="60">
      <x:c r="A60" t="str">
        <x:v>Tomato</x:v>
      </x:c>
      <x:c r="B60" t="n">
        <x:v>2026</x:v>
      </x:c>
      <x:c r="C60" t="str">
        <x:v>Q3</x:v>
      </x:c>
      <x:c r="D60" t="str">
        <x:v>0403429</x:v>
      </x:c>
      <x:c r="E60" t="str">
        <x:v>Siniloan</x:v>
      </x:c>
      <x:c r="F60" s="14" t="n">
        <x:f>'Commodity Benchmark'!E60</x:f>
        <x:v>0.010923461441461441</x:v>
      </x:c>
      <x:c r="G60" s="14" t="n">
        <x:f>'Commodity Benchmark'!G60</x:f>
        <x:v>0.0357826320160412</x:v>
      </x:c>
      <x:c r="H60" s="18" t="n">
        <x:f>'Provincial Inputs'!D3</x:f>
        <x:v>0</x:v>
      </x:c>
      <x:c r="I60" s="18" t="n">
        <x:f>'Provincial Inputs'!E3</x:f>
        <x:v>797.77</x:v>
      </x:c>
      <x:c r="J60" s="18" t="str">
        <x:f>IF(H60="","",H60*F60)</x:f>
      </x:c>
      <x:c r="K60" s="18" t="n">
        <x:f>IF(I60="","",I60*G60)</x:f>
        <x:v>28.546310343437185</x:v>
      </x:c>
      <x:c r="L60" s="18" t="str">
        <x:f>IF(OR(J60="",K60=""),"",J60-K60)</x:f>
      </x:c>
      <x:c r="M60" s="18" t="n">
        <x:f>IFERROR(J60/K60,"")</x:f>
        <x:v>0</x:v>
      </x:c>
      <x:c r="N60" s="16" t="n">
        <x:f>'Commodity Benchmark'!J60</x:f>
        <x:v>42.52873563172414</x:v>
      </x:c>
      <x:c r="O60" t="str">
        <x:f>'Commodity Benchmark'!K60</x:f>
        <x:v>BALANCED</x:v>
      </x:c>
    </x:row>
    <x:row r="61">
      <x:c r="A61" t="str">
        <x:v>Tomato</x:v>
      </x:c>
      <x:c r="B61" t="n">
        <x:v>2026</x:v>
      </x:c>
      <x:c r="C61" t="str">
        <x:v>Q3</x:v>
      </x:c>
      <x:c r="D61" t="str">
        <x:v>0403430</x:v>
      </x:c>
      <x:c r="E61" t="str">
        <x:v>Victoria</x:v>
      </x:c>
      <x:c r="F61" s="14" t="n">
        <x:f>'Commodity Benchmark'!E61</x:f>
        <x:v>0.012169202310186875</x:v>
      </x:c>
      <x:c r="G61" s="14" t="n">
        <x:f>'Commodity Benchmark'!G61</x:f>
        <x:v>0.009427791976073832</x:v>
      </x:c>
      <x:c r="H61" s="18" t="n">
        <x:f>'Provincial Inputs'!D3</x:f>
        <x:v>0</x:v>
      </x:c>
      <x:c r="I61" s="18" t="n">
        <x:f>'Provincial Inputs'!E3</x:f>
        <x:v>797.77</x:v>
      </x:c>
      <x:c r="J61" s="18" t="str">
        <x:f>IF(H61="","",H61*F61)</x:f>
      </x:c>
      <x:c r="K61" s="18" t="n">
        <x:f>IF(I61="","",I61*G61)</x:f>
        <x:v>7.521209604752421</x:v>
      </x:c>
      <x:c r="L61" s="18" t="str">
        <x:f>IF(OR(J61="",K61=""),"",J61-K61)</x:f>
      </x:c>
      <x:c r="M61" s="18" t="n">
        <x:f>IFERROR(J61/K61,"")</x:f>
        <x:v>0</x:v>
      </x:c>
      <x:c r="N61" s="16" t="n">
        <x:f>'Commodity Benchmark'!J61</x:f>
        <x:v>68.10344827689656</x:v>
      </x:c>
      <x:c r="O61" t="str">
        <x:f>'Commodity Benchmark'!K61</x:f>
        <x:v>UNDERSUPPLY_LEANING</x:v>
      </x:c>
    </x:row>
    <x:row r="62">
      <x:c r="A62" t="str">
        <x:v>Red Onion</x:v>
      </x:c>
      <x:c r="B62" t="n">
        <x:v>2026</x:v>
      </x:c>
      <x:c r="C62" t="str">
        <x:v>Q3</x:v>
      </x:c>
      <x:c r="D62" t="str">
        <x:v>0403401</x:v>
      </x:c>
      <x:c r="E62" t="str">
        <x:v>Alaminos</x:v>
      </x:c>
      <x:c r="F62" s="14" t="n">
        <x:f>'Commodity Benchmark'!E62</x:f>
        <x:v>0.013909675391322093</x:v>
      </x:c>
      <x:c r="G62" s="14" t="n">
        <x:f>'Commodity Benchmark'!G62</x:f>
        <x:v>0.033376888949375516</x:v>
      </x:c>
      <x:c r="H62" s="18" t="n">
        <x:f>'Provincial Inputs'!D4</x:f>
        <x:v>0</x:v>
      </x:c>
      <x:c r="I62" s="18" t="n">
        <x:f>'Provincial Inputs'!E4</x:f>
        <x:v>0</x:v>
      </x:c>
      <x:c r="J62" s="18" t="str">
        <x:f>IF(H62="","",H62*F62)</x:f>
      </x:c>
      <x:c r="K62" s="18" t="str">
        <x:f>IF(I62="","",I62*G62)</x:f>
      </x:c>
      <x:c r="L62" s="18" t="str">
        <x:f>IF(OR(J62="",K62=""),"",J62-K62)</x:f>
      </x:c>
      <x:c r="M62" s="18" t="str">
        <x:f>IFERROR(J62/K62,"")</x:f>
      </x:c>
      <x:c r="N62" s="16" t="n">
        <x:f>'Commodity Benchmark'!J62</x:f>
        <x:v>45.6896551713793</x:v>
      </x:c>
      <x:c r="O62" t="str">
        <x:f>'Commodity Benchmark'!K62</x:f>
        <x:v>BALANCED</x:v>
      </x:c>
    </x:row>
    <x:row r="63">
      <x:c r="A63" t="str">
        <x:v>Red Onion</x:v>
      </x:c>
      <x:c r="B63" t="n">
        <x:v>2026</x:v>
      </x:c>
      <x:c r="C63" t="str">
        <x:v>Q3</x:v>
      </x:c>
      <x:c r="D63" t="str">
        <x:v>0403402</x:v>
      </x:c>
      <x:c r="E63" t="str">
        <x:v>Bay</x:v>
      </x:c>
      <x:c r="F63" s="14" t="n">
        <x:f>'Commodity Benchmark'!E63</x:f>
        <x:v>0.018865307543054568</x:v>
      </x:c>
      <x:c r="G63" s="14" t="n">
        <x:f>'Commodity Benchmark'!G63</x:f>
        <x:v>0.01534161347109599</x:v>
      </x:c>
      <x:c r="H63" s="18" t="n">
        <x:f>'Provincial Inputs'!D4</x:f>
        <x:v>0</x:v>
      </x:c>
      <x:c r="I63" s="18" t="n">
        <x:f>'Provincial Inputs'!E4</x:f>
        <x:v>0</x:v>
      </x:c>
      <x:c r="J63" s="18" t="str">
        <x:f>IF(H63="","",H63*F63)</x:f>
      </x:c>
      <x:c r="K63" s="18" t="str">
        <x:f>IF(I63="","",I63*G63)</x:f>
      </x:c>
      <x:c r="L63" s="18" t="str">
        <x:f>IF(OR(J63="",K63=""),"",J63-K63)</x:f>
      </x:c>
      <x:c r="M63" s="18" t="str">
        <x:f>IFERROR(J63/K63,"")</x:f>
      </x:c>
      <x:c r="N63" s="16" t="n">
        <x:f>'Commodity Benchmark'!J63</x:f>
        <x:v>67.52873563206897</x:v>
      </x:c>
      <x:c r="O63" t="str">
        <x:f>'Commodity Benchmark'!K63</x:f>
        <x:v>UNDERSUPPLY_LEANING</x:v>
      </x:c>
    </x:row>
    <x:row r="64">
      <x:c r="A64" t="str">
        <x:v>Red Onion</x:v>
      </x:c>
      <x:c r="B64" t="n">
        <x:v>2026</x:v>
      </x:c>
      <x:c r="C64" t="str">
        <x:v>Q3</x:v>
      </x:c>
      <x:c r="D64" t="str">
        <x:v>0403403</x:v>
      </x:c>
      <x:c r="E64" t="str">
        <x:v>Biñan</x:v>
      </x:c>
      <x:c r="F64" s="14" t="n">
        <x:f>'Commodity Benchmark'!E64</x:f>
        <x:v>0.1613783856100605</x:v>
      </x:c>
      <x:c r="G64" s="14" t="n">
        <x:f>'Commodity Benchmark'!G64</x:f>
        <x:v>0.007511830631989077</x:v>
      </x:c>
      <x:c r="H64" s="18" t="n">
        <x:f>'Provincial Inputs'!D4</x:f>
        <x:v>0</x:v>
      </x:c>
      <x:c r="I64" s="18" t="n">
        <x:f>'Provincial Inputs'!E4</x:f>
        <x:v>0</x:v>
      </x:c>
      <x:c r="J64" s="18" t="str">
        <x:f>IF(H64="","",H64*F64)</x:f>
      </x:c>
      <x:c r="K64" s="18" t="str">
        <x:f>IF(I64="","",I64*G64)</x:f>
      </x:c>
      <x:c r="L64" s="18" t="str">
        <x:f>IF(OR(J64="",K64=""),"",J64-K64)</x:f>
      </x:c>
      <x:c r="M64" s="18" t="str">
        <x:f>IFERROR(J64/K64,"")</x:f>
      </x:c>
      <x:c r="N64" s="16" t="n">
        <x:f>'Commodity Benchmark'!J64</x:f>
        <x:v>97.12643678137931</x:v>
      </x:c>
      <x:c r="O64" t="str">
        <x:f>'Commodity Benchmark'!K64</x:f>
        <x:v>HIGH_OPPORTUNITY</x:v>
      </x:c>
    </x:row>
    <x:row r="65">
      <x:c r="A65" t="str">
        <x:v>Red Onion</x:v>
      </x:c>
      <x:c r="B65" t="n">
        <x:v>2026</x:v>
      </x:c>
      <x:c r="C65" t="str">
        <x:v>Q3</x:v>
      </x:c>
      <x:c r="D65" t="str">
        <x:v>0403404</x:v>
      </x:c>
      <x:c r="E65" t="str">
        <x:v>Cabuyao</x:v>
      </x:c>
      <x:c r="F65" s="14" t="n">
        <x:f>'Commodity Benchmark'!E65</x:f>
        <x:v>0.10103667850375411</x:v>
      </x:c>
      <x:c r="G65" s="14" t="n">
        <x:f>'Commodity Benchmark'!G65</x:f>
        <x:v>0.007486729649585572</x:v>
      </x:c>
      <x:c r="H65" s="18" t="n">
        <x:f>'Provincial Inputs'!D4</x:f>
        <x:v>0</x:v>
      </x:c>
      <x:c r="I65" s="18" t="n">
        <x:f>'Provincial Inputs'!E4</x:f>
        <x:v>0</x:v>
      </x:c>
      <x:c r="J65" s="18" t="str">
        <x:f>IF(H65="","",H65*F65)</x:f>
      </x:c>
      <x:c r="K65" s="18" t="str">
        <x:f>IF(I65="","",I65*G65)</x:f>
      </x:c>
      <x:c r="L65" s="18" t="str">
        <x:f>IF(OR(J65="",K65=""),"",J65-K65)</x:f>
      </x:c>
      <x:c r="M65" s="18" t="str">
        <x:f>IFERROR(J65/K65,"")</x:f>
      </x:c>
      <x:c r="N65" s="16" t="n">
        <x:f>'Commodity Benchmark'!J65</x:f>
        <x:v>92.5287356324138</x:v>
      </x:c>
      <x:c r="O65" t="str">
        <x:f>'Commodity Benchmark'!K65</x:f>
        <x:v>HIGH_OPPORTUNITY</x:v>
      </x:c>
    </x:row>
    <x:row r="66">
      <x:c r="A66" t="str">
        <x:v>Red Onion</x:v>
      </x:c>
      <x:c r="B66" t="n">
        <x:v>2026</x:v>
      </x:c>
      <x:c r="C66" t="str">
        <x:v>Q3</x:v>
      </x:c>
      <x:c r="D66" t="str">
        <x:v>0403405</x:v>
      </x:c>
      <x:c r="E66" t="str">
        <x:v>Calamba</x:v>
      </x:c>
      <x:c r="F66" s="14" t="n">
        <x:f>'Commodity Benchmark'!E66</x:f>
        <x:v>0.1580102321719133</x:v>
      </x:c>
      <x:c r="G66" s="14" t="n">
        <x:f>'Commodity Benchmark'!G66</x:f>
        <x:v>0.030005016077844372</x:v>
      </x:c>
      <x:c r="H66" s="18" t="n">
        <x:f>'Provincial Inputs'!D4</x:f>
        <x:v>0</x:v>
      </x:c>
      <x:c r="I66" s="18" t="n">
        <x:f>'Provincial Inputs'!E4</x:f>
        <x:v>0</x:v>
      </x:c>
      <x:c r="J66" s="18" t="str">
        <x:f>IF(H66="","",H66*F66)</x:f>
      </x:c>
      <x:c r="K66" s="18" t="str">
        <x:f>IF(I66="","",I66*G66)</x:f>
      </x:c>
      <x:c r="L66" s="18" t="str">
        <x:f>IF(OR(J66="",K66=""),"",J66-K66)</x:f>
      </x:c>
      <x:c r="M66" s="18" t="str">
        <x:f>IFERROR(J66/K66,"")</x:f>
      </x:c>
      <x:c r="N66" s="16" t="n">
        <x:f>'Commodity Benchmark'!J66</x:f>
        <x:v>73.56321838896551</x:v>
      </x:c>
      <x:c r="O66" t="str">
        <x:f>'Commodity Benchmark'!K66</x:f>
        <x:v>UNDERSUPPLY_LEANING</x:v>
      </x:c>
    </x:row>
    <x:row r="67">
      <x:c r="A67" t="str">
        <x:v>Red Onion</x:v>
      </x:c>
      <x:c r="B67" t="n">
        <x:v>2026</x:v>
      </x:c>
      <x:c r="C67" t="str">
        <x:v>Q3</x:v>
      </x:c>
      <x:c r="D67" t="str">
        <x:v>0403406</x:v>
      </x:c>
      <x:c r="E67" t="str">
        <x:v>Calauan</x:v>
      </x:c>
      <x:c r="F67" s="14" t="n">
        <x:f>'Commodity Benchmark'!E67</x:f>
        <x:v>0.024093603384818266</x:v>
      </x:c>
      <x:c r="G67" s="14" t="n">
        <x:f>'Commodity Benchmark'!G67</x:f>
        <x:v>0.022817266823547292</x:v>
      </x:c>
      <x:c r="H67" s="18" t="n">
        <x:f>'Provincial Inputs'!D4</x:f>
        <x:v>0</x:v>
      </x:c>
      <x:c r="I67" s="18" t="n">
        <x:f>'Provincial Inputs'!E4</x:f>
        <x:v>0</x:v>
      </x:c>
      <x:c r="J67" s="18" t="str">
        <x:f>IF(H67="","",H67*F67)</x:f>
      </x:c>
      <x:c r="K67" s="18" t="str">
        <x:f>IF(I67="","",I67*G67)</x:f>
      </x:c>
      <x:c r="L67" s="18" t="str">
        <x:f>IF(OR(J67="",K67=""),"",J67-K67)</x:f>
      </x:c>
      <x:c r="M67" s="18" t="str">
        <x:f>IFERROR(J67/K67,"")</x:f>
      </x:c>
      <x:c r="N67" s="16" t="n">
        <x:f>'Commodity Benchmark'!J67</x:f>
        <x:v>62.35632183827586</x:v>
      </x:c>
      <x:c r="O67" t="str">
        <x:f>'Commodity Benchmark'!K67</x:f>
        <x:v>UNDERSUPPLY_LEANING</x:v>
      </x:c>
    </x:row>
    <x:row r="68">
      <x:c r="A68" t="str">
        <x:v>Red Onion</x:v>
      </x:c>
      <x:c r="B68" t="n">
        <x:v>2026</x:v>
      </x:c>
      <x:c r="C68" t="str">
        <x:v>Q3</x:v>
      </x:c>
      <x:c r="D68" t="str">
        <x:v>0403407</x:v>
      </x:c>
      <x:c r="E68" t="str">
        <x:v>Cavinti</x:v>
      </x:c>
      <x:c r="F68" s="14" t="n">
        <x:f>'Commodity Benchmark'!E68</x:f>
        <x:v>0.006351068303993657</x:v>
      </x:c>
      <x:c r="G68" s="14" t="n">
        <x:f>'Commodity Benchmark'!G68</x:f>
        <x:v>0.15065136350710245</x:v>
      </x:c>
      <x:c r="H68" s="18" t="n">
        <x:f>'Provincial Inputs'!D4</x:f>
        <x:v>0</x:v>
      </x:c>
      <x:c r="I68" s="18" t="n">
        <x:f>'Provincial Inputs'!E4</x:f>
        <x:v>0</x:v>
      </x:c>
      <x:c r="J68" s="18" t="str">
        <x:f>IF(H68="","",H68*F68)</x:f>
      </x:c>
      <x:c r="K68" s="18" t="str">
        <x:f>IF(I68="","",I68*G68)</x:f>
      </x:c>
      <x:c r="L68" s="18" t="str">
        <x:f>IF(OR(J68="",K68=""),"",J68-K68)</x:f>
      </x:c>
      <x:c r="M68" s="18" t="str">
        <x:f>IFERROR(J68/K68,"")</x:f>
      </x:c>
      <x:c r="N68" s="16" t="n">
        <x:f>'Commodity Benchmark'!J68</x:f>
        <x:v>10.057471263793104</x:v>
      </x:c>
      <x:c r="O68" t="str">
        <x:f>'Commodity Benchmark'!K68</x:f>
        <x:v>SEVERE_OVERSUPPLY</x:v>
      </x:c>
    </x:row>
    <x:row r="69">
      <x:c r="A69" t="str">
        <x:v>Red Onion</x:v>
      </x:c>
      <x:c r="B69" t="n">
        <x:v>2026</x:v>
      </x:c>
      <x:c r="C69" t="str">
        <x:v>Q3</x:v>
      </x:c>
      <x:c r="D69" t="str">
        <x:v>0403408</x:v>
      </x:c>
      <x:c r="E69" t="str">
        <x:v>Famy</x:v>
      </x:c>
      <x:c r="F69" s="14" t="n">
        <x:f>'Commodity Benchmark'!E69</x:f>
        <x:v>0.004456411218566179</x:v>
      </x:c>
      <x:c r="G69" s="14" t="n">
        <x:f>'Commodity Benchmark'!G69</x:f>
        <x:v>0.03271107345518749</x:v>
      </x:c>
      <x:c r="H69" s="18" t="n">
        <x:f>'Provincial Inputs'!D4</x:f>
        <x:v>0</x:v>
      </x:c>
      <x:c r="I69" s="18" t="n">
        <x:f>'Provincial Inputs'!E4</x:f>
        <x:v>0</x:v>
      </x:c>
      <x:c r="J69" s="18" t="str">
        <x:f>IF(H69="","",H69*F69)</x:f>
      </x:c>
      <x:c r="K69" s="18" t="str">
        <x:f>IF(I69="","",I69*G69)</x:f>
      </x:c>
      <x:c r="L69" s="18" t="str">
        <x:f>IF(OR(J69="",K69=""),"",J69-K69)</x:f>
      </x:c>
      <x:c r="M69" s="18" t="str">
        <x:f>IFERROR(J69/K69,"")</x:f>
      </x:c>
      <x:c r="N69" s="16" t="n">
        <x:f>'Commodity Benchmark'!J69</x:f>
        <x:v>14.36781609310345</x:v>
      </x:c>
      <x:c r="O69" t="str">
        <x:f>'Commodity Benchmark'!K69</x:f>
        <x:v>SEVERE_OVERSUPPLY</x:v>
      </x:c>
    </x:row>
    <x:row r="70">
      <x:c r="A70" t="str">
        <x:v>Red Onion</x:v>
      </x:c>
      <x:c r="B70" t="n">
        <x:v>2026</x:v>
      </x:c>
      <x:c r="C70" t="str">
        <x:v>Q3</x:v>
      </x:c>
      <x:c r="D70" t="str">
        <x:v>0403409</x:v>
      </x:c>
      <x:c r="E70" t="str">
        <x:v>Kalayaan</x:v>
      </x:c>
      <x:c r="F70" s="14" t="n">
        <x:f>'Commodity Benchmark'!E70</x:f>
        <x:v>0.006983720996791543</x:v>
      </x:c>
      <x:c r="G70" s="14" t="n">
        <x:f>'Commodity Benchmark'!G70</x:f>
        <x:v>0.010362268742064841</x:v>
      </x:c>
      <x:c r="H70" s="18" t="n">
        <x:f>'Provincial Inputs'!D4</x:f>
        <x:v>0</x:v>
      </x:c>
      <x:c r="I70" s="18" t="n">
        <x:f>'Provincial Inputs'!E4</x:f>
        <x:v>0</x:v>
      </x:c>
      <x:c r="J70" s="18" t="str">
        <x:f>IF(H70="","",H70*F70)</x:f>
      </x:c>
      <x:c r="K70" s="18" t="str">
        <x:f>IF(I70="","",I70*G70)</x:f>
      </x:c>
      <x:c r="L70" s="18" t="str">
        <x:f>IF(OR(J70="",K70=""),"",J70-K70)</x:f>
      </x:c>
      <x:c r="M70" s="18" t="str">
        <x:f>IFERROR(J70/K70,"")</x:f>
      </x:c>
      <x:c r="N70" s="16" t="n">
        <x:f>'Commodity Benchmark'!J70</x:f>
        <x:v>52.01149425482758</x:v>
      </x:c>
      <x:c r="O70" t="str">
        <x:f>'Commodity Benchmark'!K70</x:f>
        <x:v>BALANCED</x:v>
      </x:c>
    </x:row>
    <x:row r="71">
      <x:c r="A71" t="str">
        <x:v>Red Onion</x:v>
      </x:c>
      <x:c r="B71" t="n">
        <x:v>2026</x:v>
      </x:c>
      <x:c r="C71" t="str">
        <x:v>Q3</x:v>
      </x:c>
      <x:c r="D71" t="str">
        <x:v>0403410</x:v>
      </x:c>
      <x:c r="E71" t="str">
        <x:v>Liliw</x:v>
      </x:c>
      <x:c r="F71" s="14" t="n">
        <x:f>'Commodity Benchmark'!E71</x:f>
        <x:v>0.009953773620843992</x:v>
      </x:c>
      <x:c r="G71" s="14" t="n">
        <x:f>'Commodity Benchmark'!G71</x:f>
        <x:v>0.03277825465762072</x:v>
      </x:c>
      <x:c r="H71" s="18" t="n">
        <x:f>'Provincial Inputs'!D4</x:f>
        <x:v>0</x:v>
      </x:c>
      <x:c r="I71" s="18" t="n">
        <x:f>'Provincial Inputs'!E4</x:f>
        <x:v>0</x:v>
      </x:c>
      <x:c r="J71" s="18" t="str">
        <x:f>IF(H71="","",H71*F71)</x:f>
      </x:c>
      <x:c r="K71" s="18" t="str">
        <x:f>IF(I71="","",I71*G71)</x:f>
      </x:c>
      <x:c r="L71" s="18" t="str">
        <x:f>IF(OR(J71="",K71=""),"",J71-K71)</x:f>
      </x:c>
      <x:c r="M71" s="18" t="str">
        <x:f>IFERROR(J71/K71,"")</x:f>
      </x:c>
      <x:c r="N71" s="16" t="n">
        <x:f>'Commodity Benchmark'!J71</x:f>
        <x:v>39.08045976965518</x:v>
      </x:c>
      <x:c r="O71" t="str">
        <x:f>'Commodity Benchmark'!K71</x:f>
        <x:v>OVERSUPPLY_LEANING</x:v>
      </x:c>
    </x:row>
    <x:row r="72">
      <x:c r="A72" t="str">
        <x:v>Red Onion</x:v>
      </x:c>
      <x:c r="B72" t="n">
        <x:v>2026</x:v>
      </x:c>
      <x:c r="C72" t="str">
        <x:v>Q3</x:v>
      </x:c>
      <x:c r="D72" t="str">
        <x:v>0403411</x:v>
      </x:c>
      <x:c r="E72" t="str">
        <x:v>Los Baños</x:v>
      </x:c>
      <x:c r="F72" s="14" t="n">
        <x:f>'Commodity Benchmark'!E72</x:f>
        <x:v>0.03220264714835558</x:v>
      </x:c>
      <x:c r="G72" s="14" t="n">
        <x:f>'Commodity Benchmark'!G72</x:f>
        <x:v>0.011493139339638912</x:v>
      </x:c>
      <x:c r="H72" s="18" t="n">
        <x:f>'Provincial Inputs'!D4</x:f>
        <x:v>0</x:v>
      </x:c>
      <x:c r="I72" s="18" t="n">
        <x:f>'Provincial Inputs'!E4</x:f>
        <x:v>0</x:v>
      </x:c>
      <x:c r="J72" s="18" t="str">
        <x:f>IF(H72="","",H72*F72)</x:f>
      </x:c>
      <x:c r="K72" s="18" t="str">
        <x:f>IF(I72="","",I72*G72)</x:f>
      </x:c>
      <x:c r="L72" s="18" t="str">
        <x:f>IF(OR(J72="",K72=""),"",J72-K72)</x:f>
      </x:c>
      <x:c r="M72" s="18" t="str">
        <x:f>IFERROR(J72/K72,"")</x:f>
      </x:c>
      <x:c r="N72" s="16" t="n">
        <x:f>'Commodity Benchmark'!J72</x:f>
        <x:v>78.73563218413793</x:v>
      </x:c>
      <x:c r="O72" t="str">
        <x:f>'Commodity Benchmark'!K72</x:f>
        <x:v>HIGH_OPPORTUNITY</x:v>
      </x:c>
    </x:row>
    <x:row r="73">
      <x:c r="A73" t="str">
        <x:v>Red Onion</x:v>
      </x:c>
      <x:c r="B73" t="n">
        <x:v>2026</x:v>
      </x:c>
      <x:c r="C73" t="str">
        <x:v>Q3</x:v>
      </x:c>
      <x:c r="D73" t="str">
        <x:v>0403412</x:v>
      </x:c>
      <x:c r="E73" t="str">
        <x:v>Luisiana</x:v>
      </x:c>
      <x:c r="F73" s="14" t="n">
        <x:f>'Commodity Benchmark'!E73</x:f>
        <x:v>0.005434039311119153</x:v>
      </x:c>
      <x:c r="G73" s="14" t="n">
        <x:f>'Commodity Benchmark'!G73</x:f>
        <x:v>0.06597038082299884</x:v>
      </x:c>
      <x:c r="H73" s="18" t="n">
        <x:f>'Provincial Inputs'!D4</x:f>
        <x:v>0</x:v>
      </x:c>
      <x:c r="I73" s="18" t="n">
        <x:f>'Provincial Inputs'!E4</x:f>
        <x:v>0</x:v>
      </x:c>
      <x:c r="J73" s="18" t="str">
        <x:f>IF(H73="","",H73*F73)</x:f>
      </x:c>
      <x:c r="K73" s="18" t="str">
        <x:f>IF(I73="","",I73*G73)</x:f>
      </x:c>
      <x:c r="L73" s="18" t="str">
        <x:f>IF(OR(J73="",K73=""),"",J73-K73)</x:f>
      </x:c>
      <x:c r="M73" s="18" t="str">
        <x:f>IFERROR(J73/K73,"")</x:f>
      </x:c>
      <x:c r="N73" s="16" t="n">
        <x:f>'Commodity Benchmark'!J73</x:f>
        <x:v>10.344827586206897</x:v>
      </x:c>
      <x:c r="O73" t="str">
        <x:f>'Commodity Benchmark'!K73</x:f>
        <x:v>SEVERE_OVERSUPPLY</x:v>
      </x:c>
    </x:row>
    <x:row r="74">
      <x:c r="A74" t="str">
        <x:v>Red Onion</x:v>
      </x:c>
      <x:c r="B74" t="n">
        <x:v>2026</x:v>
      </x:c>
      <x:c r="C74" t="str">
        <x:v>Q3</x:v>
      </x:c>
      <x:c r="D74" t="str">
        <x:v>0403413</x:v>
      </x:c>
      <x:c r="E74" t="str">
        <x:v>Lumban</x:v>
      </x:c>
      <x:c r="F74" s="14" t="n">
        <x:f>'Commodity Benchmark'!E74</x:f>
        <x:v>0.00834397989490821</x:v>
      </x:c>
      <x:c r="G74" s="14" t="n">
        <x:f>'Commodity Benchmark'!G74</x:f>
        <x:v>0.021765728332138114</x:v>
      </x:c>
      <x:c r="H74" s="18" t="n">
        <x:f>'Provincial Inputs'!D4</x:f>
        <x:v>0</x:v>
      </x:c>
      <x:c r="I74" s="18" t="n">
        <x:f>'Provincial Inputs'!E4</x:f>
        <x:v>0</x:v>
      </x:c>
      <x:c r="J74" s="18" t="str">
        <x:f>IF(H74="","",H74*F74)</x:f>
      </x:c>
      <x:c r="K74" s="18" t="str">
        <x:f>IF(I74="","",I74*G74)</x:f>
      </x:c>
      <x:c r="L74" s="18" t="str">
        <x:f>IF(OR(J74="",K74=""),"",J74-K74)</x:f>
      </x:c>
      <x:c r="M74" s="18" t="str">
        <x:f>IFERROR(J74/K74,"")</x:f>
      </x:c>
      <x:c r="N74" s="16" t="n">
        <x:f>'Commodity Benchmark'!J74</x:f>
        <x:v>45.11494252931034</x:v>
      </x:c>
      <x:c r="O74" t="str">
        <x:f>'Commodity Benchmark'!K74</x:f>
        <x:v>BALANCED</x:v>
      </x:c>
    </x:row>
    <x:row r="75">
      <x:c r="A75" t="str">
        <x:v>Red Onion</x:v>
      </x:c>
      <x:c r="B75" t="n">
        <x:v>2026</x:v>
      </x:c>
      <x:c r="C75" t="str">
        <x:v>Q3</x:v>
      </x:c>
      <x:c r="D75" t="str">
        <x:v>0403414</x:v>
      </x:c>
      <x:c r="E75" t="str">
        <x:v>Mabitac</x:v>
      </x:c>
      <x:c r="F75" s="14" t="n">
        <x:f>'Commodity Benchmark'!E75</x:f>
        <x:v>0.005415115787125153</x:v>
      </x:c>
      <x:c r="G75" s="14" t="n">
        <x:f>'Commodity Benchmark'!G75</x:f>
        <x:v>0.06043452171215672</x:v>
      </x:c>
      <x:c r="H75" s="18" t="n">
        <x:f>'Provincial Inputs'!D4</x:f>
        <x:v>0</x:v>
      </x:c>
      <x:c r="I75" s="18" t="n">
        <x:f>'Provincial Inputs'!E4</x:f>
        <x:v>0</x:v>
      </x:c>
      <x:c r="J75" s="18" t="str">
        <x:f>IF(H75="","",H75*F75)</x:f>
      </x:c>
      <x:c r="K75" s="18" t="str">
        <x:f>IF(I75="","",I75*G75)</x:f>
      </x:c>
      <x:c r="L75" s="18" t="str">
        <x:f>IF(OR(J75="",K75=""),"",J75-K75)</x:f>
      </x:c>
      <x:c r="M75" s="18" t="str">
        <x:f>IFERROR(J75/K75,"")</x:f>
      </x:c>
      <x:c r="N75" s="16" t="n">
        <x:f>'Commodity Benchmark'!J75</x:f>
        <x:v>11.206896552068965</x:v>
      </x:c>
      <x:c r="O75" t="str">
        <x:f>'Commodity Benchmark'!K75</x:f>
        <x:v>SEVERE_OVERSUPPLY</x:v>
      </x:c>
    </x:row>
    <x:row r="76">
      <x:c r="A76" t="str">
        <x:v>Red Onion</x:v>
      </x:c>
      <x:c r="B76" t="n">
        <x:v>2026</x:v>
      </x:c>
      <x:c r="C76" t="str">
        <x:v>Q3</x:v>
      </x:c>
      <x:c r="D76" t="str">
        <x:v>0403415</x:v>
      </x:c>
      <x:c r="E76" t="str">
        <x:v>Magdalena</x:v>
      </x:c>
      <x:c r="F76" s="14" t="n">
        <x:f>'Commodity Benchmark'!E76</x:f>
        <x:v>0.007043356380044857</x:v>
      </x:c>
      <x:c r="G76" s="14" t="n">
        <x:f>'Commodity Benchmark'!G76</x:f>
        <x:v>0.023921479662481444</x:v>
      </x:c>
      <x:c r="H76" s="18" t="n">
        <x:f>'Provincial Inputs'!D4</x:f>
        <x:v>0</x:v>
      </x:c>
      <x:c r="I76" s="18" t="n">
        <x:f>'Provincial Inputs'!E4</x:f>
        <x:v>0</x:v>
      </x:c>
      <x:c r="J76" s="18" t="str">
        <x:f>IF(H76="","",H76*F76)</x:f>
      </x:c>
      <x:c r="K76" s="18" t="str">
        <x:f>IF(I76="","",I76*G76)</x:f>
      </x:c>
      <x:c r="L76" s="18" t="str">
        <x:f>IF(OR(J76="",K76=""),"",J76-K76)</x:f>
      </x:c>
      <x:c r="M76" s="18" t="str">
        <x:f>IFERROR(J76/K76,"")</x:f>
      </x:c>
      <x:c r="N76" s="16" t="n">
        <x:f>'Commodity Benchmark'!J76</x:f>
        <x:v>36.781609195862075</x:v>
      </x:c>
      <x:c r="O76" t="str">
        <x:f>'Commodity Benchmark'!K76</x:f>
        <x:v>OVERSUPPLY_LEANING</x:v>
      </x:c>
    </x:row>
    <x:row r="77">
      <x:c r="A77" t="str">
        <x:v>Red Onion</x:v>
      </x:c>
      <x:c r="B77" t="n">
        <x:v>2026</x:v>
      </x:c>
      <x:c r="C77" t="str">
        <x:v>Q3</x:v>
      </x:c>
      <x:c r="D77" t="str">
        <x:v>0403416</x:v>
      </x:c>
      <x:c r="E77" t="str">
        <x:v>Majayjay</x:v>
      </x:c>
      <x:c r="F77" s="14" t="n">
        <x:f>'Commodity Benchmark'!E77</x:f>
        <x:v>0.007097317472697046</x:v>
      </x:c>
      <x:c r="G77" s="14" t="n">
        <x:f>'Commodity Benchmark'!G77</x:f>
        <x:v>0.06470657823337575</x:v>
      </x:c>
      <x:c r="H77" s="18" t="n">
        <x:f>'Provincial Inputs'!D4</x:f>
        <x:v>0</x:v>
      </x:c>
      <x:c r="I77" s="18" t="n">
        <x:f>'Provincial Inputs'!E4</x:f>
        <x:v>0</x:v>
      </x:c>
      <x:c r="J77" s="18" t="str">
        <x:f>IF(H77="","",H77*F77)</x:f>
      </x:c>
      <x:c r="K77" s="18" t="str">
        <x:f>IF(I77="","",I77*G77)</x:f>
      </x:c>
      <x:c r="L77" s="18" t="str">
        <x:f>IF(OR(J77="",K77=""),"",J77-K77)</x:f>
      </x:c>
      <x:c r="M77" s="18" t="str">
        <x:f>IFERROR(J77/K77,"")</x:f>
      </x:c>
      <x:c r="N77" s="16" t="n">
        <x:f>'Commodity Benchmark'!J77</x:f>
        <x:v>25.862068964827586</x:v>
      </x:c>
      <x:c r="O77" t="str">
        <x:f>'Commodity Benchmark'!K77</x:f>
        <x:v>OVERSUPPLY_LEANING</x:v>
      </x:c>
    </x:row>
    <x:row r="78">
      <x:c r="A78" t="str">
        <x:v>Red Onion</x:v>
      </x:c>
      <x:c r="B78" t="n">
        <x:v>2026</x:v>
      </x:c>
      <x:c r="C78" t="str">
        <x:v>Q3</x:v>
      </x:c>
      <x:c r="D78" t="str">
        <x:v>0403417</x:v>
      </x:c>
      <x:c r="E78" t="str">
        <x:v>Nagcarlan</x:v>
      </x:c>
      <x:c r="F78" s="14" t="n">
        <x:f>'Commodity Benchmark'!E78</x:f>
        <x:v>0.017062504551444698</x:v>
      </x:c>
      <x:c r="G78" s="14" t="n">
        <x:f>'Commodity Benchmark'!G78</x:f>
        <x:v>0.04775223396022488</x:v>
      </x:c>
      <x:c r="H78" s="18" t="n">
        <x:f>'Provincial Inputs'!D4</x:f>
        <x:v>0</x:v>
      </x:c>
      <x:c r="I78" s="18" t="n">
        <x:f>'Provincial Inputs'!E4</x:f>
        <x:v>0</x:v>
      </x:c>
      <x:c r="J78" s="18" t="str">
        <x:f>IF(H78="","",H78*F78)</x:f>
      </x:c>
      <x:c r="K78" s="18" t="str">
        <x:f>IF(I78="","",I78*G78)</x:f>
      </x:c>
      <x:c r="L78" s="18" t="str">
        <x:f>IF(OR(J78="",K78=""),"",J78-K78)</x:f>
      </x:c>
      <x:c r="M78" s="18" t="str">
        <x:f>IFERROR(J78/K78,"")</x:f>
      </x:c>
      <x:c r="N78" s="16" t="n">
        <x:f>'Commodity Benchmark'!J78</x:f>
        <x:v>46.83908045827587</x:v>
      </x:c>
      <x:c r="O78" t="str">
        <x:f>'Commodity Benchmark'!K78</x:f>
        <x:v>BALANCED</x:v>
      </x:c>
    </x:row>
    <x:row r="79">
      <x:c r="A79" t="str">
        <x:v>Red Onion</x:v>
      </x:c>
      <x:c r="B79" t="n">
        <x:v>2026</x:v>
      </x:c>
      <x:c r="C79" t="str">
        <x:v>Q3</x:v>
      </x:c>
      <x:c r="D79" t="str">
        <x:v>0403418</x:v>
      </x:c>
      <x:c r="E79" t="str">
        <x:v>Paete</x:v>
      </x:c>
      <x:c r="F79" s="14" t="n">
        <x:f>'Commodity Benchmark'!E79</x:f>
        <x:v>0.006645111481574426</x:v>
      </x:c>
      <x:c r="G79" s="14" t="n">
        <x:f>'Commodity Benchmark'!G79</x:f>
        <x:v>0.022126744883405915</x:v>
      </x:c>
      <x:c r="H79" s="18" t="n">
        <x:f>'Provincial Inputs'!D4</x:f>
        <x:v>0</x:v>
      </x:c>
      <x:c r="I79" s="18" t="n">
        <x:f>'Provincial Inputs'!E4</x:f>
        <x:v>0</x:v>
      </x:c>
      <x:c r="J79" s="18" t="str">
        <x:f>IF(H79="","",H79*F79)</x:f>
      </x:c>
      <x:c r="K79" s="18" t="str">
        <x:f>IF(I79="","",I79*G79)</x:f>
      </x:c>
      <x:c r="L79" s="18" t="str">
        <x:f>IF(OR(J79="",K79=""),"",J79-K79)</x:f>
      </x:c>
      <x:c r="M79" s="18" t="str">
        <x:f>IFERROR(J79/K79,"")</x:f>
      </x:c>
      <x:c r="N79" s="16" t="n">
        <x:f>'Commodity Benchmark'!J79</x:f>
        <x:v>33.6206896562069</x:v>
      </x:c>
      <x:c r="O79" t="str">
        <x:f>'Commodity Benchmark'!K79</x:f>
        <x:v>OVERSUPPLY_LEANING</x:v>
      </x:c>
    </x:row>
    <x:row r="80">
      <x:c r="A80" t="str">
        <x:v>Red Onion</x:v>
      </x:c>
      <x:c r="B80" t="n">
        <x:v>2026</x:v>
      </x:c>
      <x:c r="C80" t="str">
        <x:v>Q3</x:v>
      </x:c>
      <x:c r="D80" t="str">
        <x:v>0403419</x:v>
      </x:c>
      <x:c r="E80" t="str">
        <x:v>Pagsanjan</x:v>
      </x:c>
      <x:c r="F80" s="14" t="n">
        <x:f>'Commodity Benchmark'!E80</x:f>
        <x:v>0.012028319385316677</x:v>
      </x:c>
      <x:c r="G80" s="14" t="n">
        <x:f>'Commodity Benchmark'!G80</x:f>
        <x:v>0.01257908082444834</x:v>
      </x:c>
      <x:c r="H80" s="18" t="n">
        <x:f>'Provincial Inputs'!D4</x:f>
        <x:v>0</x:v>
      </x:c>
      <x:c r="I80" s="18" t="n">
        <x:f>'Provincial Inputs'!E4</x:f>
        <x:v>0</x:v>
      </x:c>
      <x:c r="J80" s="18" t="str">
        <x:f>IF(H80="","",H80*F80)</x:f>
      </x:c>
      <x:c r="K80" s="18" t="str">
        <x:f>IF(I80="","",I80*G80)</x:f>
      </x:c>
      <x:c r="L80" s="18" t="str">
        <x:f>IF(OR(J80="",K80=""),"",J80-K80)</x:f>
      </x:c>
      <x:c r="M80" s="18" t="str">
        <x:f>IFERROR(J80/K80,"")</x:f>
      </x:c>
      <x:c r="N80" s="16" t="n">
        <x:f>'Commodity Benchmark'!J80</x:f>
        <x:v>60.34482758689656</x:v>
      </x:c>
      <x:c r="O80" t="str">
        <x:f>'Commodity Benchmark'!K80</x:f>
        <x:v>UNDERSUPPLY_LEANING</x:v>
      </x:c>
    </x:row>
    <x:row r="81">
      <x:c r="A81" t="str">
        <x:v>Red Onion</x:v>
      </x:c>
      <x:c r="B81" t="n">
        <x:v>2026</x:v>
      </x:c>
      <x:c r="C81" t="str">
        <x:v>Q3</x:v>
      </x:c>
      <x:c r="D81" t="str">
        <x:v>0403420</x:v>
      </x:c>
      <x:c r="E81" t="str">
        <x:v>Pakil</x:v>
      </x:c>
      <x:c r="F81" s="14" t="n">
        <x:f>'Commodity Benchmark'!E81</x:f>
        <x:v>0.005968877857686415</x:v>
      </x:c>
      <x:c r="G81" s="14" t="n">
        <x:f>'Commodity Benchmark'!G81</x:f>
        <x:v>0.03201804237864371</x:v>
      </x:c>
      <x:c r="H81" s="18" t="n">
        <x:f>'Provincial Inputs'!D4</x:f>
        <x:v>0</x:v>
      </x:c>
      <x:c r="I81" s="18" t="n">
        <x:f>'Provincial Inputs'!E4</x:f>
        <x:v>0</x:v>
      </x:c>
      <x:c r="J81" s="18" t="str">
        <x:f>IF(H81="","",H81*F81)</x:f>
      </x:c>
      <x:c r="K81" s="18" t="str">
        <x:f>IF(I81="","",I81*G81)</x:f>
      </x:c>
      <x:c r="L81" s="18" t="str">
        <x:f>IF(OR(J81="",K81=""),"",J81-K81)</x:f>
      </x:c>
      <x:c r="M81" s="18" t="str">
        <x:f>IFERROR(J81/K81,"")</x:f>
      </x:c>
      <x:c r="N81" s="16" t="n">
        <x:f>'Commodity Benchmark'!J81</x:f>
        <x:v>23.850574713448275</x:v>
      </x:c>
      <x:c r="O81" t="str">
        <x:f>'Commodity Benchmark'!K81</x:f>
        <x:v>SEVERE_OVERSUPPLY</x:v>
      </x:c>
    </x:row>
    <x:row r="82">
      <x:c r="A82" t="str">
        <x:v>Red Onion</x:v>
      </x:c>
      <x:c r="B82" t="n">
        <x:v>2026</x:v>
      </x:c>
      <x:c r="C82" t="str">
        <x:v>Q3</x:v>
      </x:c>
      <x:c r="D82" t="str">
        <x:v>0403421</x:v>
      </x:c>
      <x:c r="E82" t="str">
        <x:v>Pangil</x:v>
      </x:c>
      <x:c r="F82" s="14" t="n">
        <x:f>'Commodity Benchmark'!E82</x:f>
        <x:v>0.006673859468441977</x:v>
      </x:c>
      <x:c r="G82" s="14" t="n">
        <x:f>'Commodity Benchmark'!G82</x:f>
        <x:v>0.018035188751513255</x:v>
      </x:c>
      <x:c r="H82" s="18" t="n">
        <x:f>'Provincial Inputs'!D4</x:f>
        <x:v>0</x:v>
      </x:c>
      <x:c r="I82" s="18" t="n">
        <x:f>'Provincial Inputs'!E4</x:f>
        <x:v>0</x:v>
      </x:c>
      <x:c r="J82" s="18" t="str">
        <x:f>IF(H82="","",H82*F82)</x:f>
      </x:c>
      <x:c r="K82" s="18" t="str">
        <x:f>IF(I82="","",I82*G82)</x:f>
      </x:c>
      <x:c r="L82" s="18" t="str">
        <x:f>IF(OR(J82="",K82=""),"",J82-K82)</x:f>
      </x:c>
      <x:c r="M82" s="18" t="str">
        <x:f>IFERROR(J82/K82,"")</x:f>
      </x:c>
      <x:c r="N82" s="16" t="n">
        <x:f>'Commodity Benchmark'!J82</x:f>
        <x:v>39.94252873689655</x:v>
      </x:c>
      <x:c r="O82" t="str">
        <x:f>'Commodity Benchmark'!K82</x:f>
        <x:v>OVERSUPPLY_LEANING</x:v>
      </x:c>
    </x:row>
    <x:row r="83">
      <x:c r="A83" t="str">
        <x:v>Red Onion</x:v>
      </x:c>
      <x:c r="B83" t="n">
        <x:v>2026</x:v>
      </x:c>
      <x:c r="C83" t="str">
        <x:v>Q3</x:v>
      </x:c>
      <x:c r="D83" t="str">
        <x:v>0403422</x:v>
      </x:c>
      <x:c r="E83" t="str">
        <x:v>Pila</x:v>
      </x:c>
      <x:c r="F83" s="14" t="n">
        <x:f>'Commodity Benchmark'!E83</x:f>
        <x:v>0.015159501832278247</x:v>
      </x:c>
      <x:c r="G83" s="14" t="n">
        <x:f>'Commodity Benchmark'!G83</x:f>
        <x:v>0.013734531436805185</x:v>
      </x:c>
      <x:c r="H83" s="18" t="n">
        <x:f>'Provincial Inputs'!D4</x:f>
        <x:v>0</x:v>
      </x:c>
      <x:c r="I83" s="18" t="n">
        <x:f>'Provincial Inputs'!E4</x:f>
        <x:v>0</x:v>
      </x:c>
      <x:c r="J83" s="18" t="str">
        <x:f>IF(H83="","",H83*F83)</x:f>
      </x:c>
      <x:c r="K83" s="18" t="str">
        <x:f>IF(I83="","",I83*G83)</x:f>
      </x:c>
      <x:c r="L83" s="18" t="str">
        <x:f>IF(OR(J83="",K83=""),"",J83-K83)</x:f>
      </x:c>
      <x:c r="M83" s="18" t="str">
        <x:f>IFERROR(J83/K83,"")</x:f>
      </x:c>
      <x:c r="N83" s="16" t="n">
        <x:f>'Commodity Benchmark'!J83</x:f>
        <x:v>64.94252873586208</x:v>
      </x:c>
      <x:c r="O83" t="str">
        <x:f>'Commodity Benchmark'!K83</x:f>
        <x:v>UNDERSUPPLY_LEANING</x:v>
      </x:c>
    </x:row>
    <x:row r="84">
      <x:c r="A84" t="str">
        <x:v>Red Onion</x:v>
      </x:c>
      <x:c r="B84" t="n">
        <x:v>2026</x:v>
      </x:c>
      <x:c r="C84" t="str">
        <x:v>Q3</x:v>
      </x:c>
      <x:c r="D84" t="str">
        <x:v>0403423</x:v>
      </x:c>
      <x:c r="E84" t="str">
        <x:v>Rizal</x:v>
      </x:c>
      <x:c r="F84" s="14" t="n">
        <x:f>'Commodity Benchmark'!E84</x:f>
        <x:v>0.0047565134097373426</x:v>
      </x:c>
      <x:c r="G84" s="14" t="n">
        <x:f>'Commodity Benchmark'!G84</x:f>
        <x:v>0.018177824532403568</x:v>
      </x:c>
      <x:c r="H84" s="18" t="n">
        <x:f>'Provincial Inputs'!D4</x:f>
        <x:v>0</x:v>
      </x:c>
      <x:c r="I84" s="18" t="n">
        <x:f>'Provincial Inputs'!E4</x:f>
        <x:v>0</x:v>
      </x:c>
      <x:c r="J84" s="18" t="str">
        <x:f>IF(H84="","",H84*F84)</x:f>
      </x:c>
      <x:c r="K84" s="18" t="str">
        <x:f>IF(I84="","",I84*G84)</x:f>
      </x:c>
      <x:c r="L84" s="18" t="str">
        <x:f>IF(OR(J84="",K84=""),"",J84-K84)</x:f>
      </x:c>
      <x:c r="M84" s="18" t="str">
        <x:f>IFERROR(J84/K84,"")</x:f>
      </x:c>
      <x:c r="N84" s="16" t="n">
        <x:f>'Commodity Benchmark'!J84</x:f>
        <x:v>26.43678161103448</x:v>
      </x:c>
      <x:c r="O84" t="str">
        <x:f>'Commodity Benchmark'!K84</x:f>
        <x:v>OVERSUPPLY_LEANING</x:v>
      </x:c>
    </x:row>
    <x:row r="85">
      <x:c r="A85" t="str">
        <x:v>Red Onion</x:v>
      </x:c>
      <x:c r="B85" t="n">
        <x:v>2026</x:v>
      </x:c>
      <x:c r="C85" t="str">
        <x:v>Q3</x:v>
      </x:c>
      <x:c r="D85" t="str">
        <x:v>0403424</x:v>
      </x:c>
      <x:c r="E85" t="str">
        <x:v>San Pablo</x:v>
      </x:c>
      <x:c r="F85" s="14" t="n">
        <x:f>'Commodity Benchmark'!E85</x:f>
        <x:v>0.08012899906025256</x:v>
      </x:c>
      <x:c r="G85" s="14" t="n">
        <x:f>'Commodity Benchmark'!G85</x:f>
        <x:v>0.08139786443479237</x:v>
      </x:c>
      <x:c r="H85" s="18" t="n">
        <x:f>'Provincial Inputs'!D4</x:f>
        <x:v>0</x:v>
      </x:c>
      <x:c r="I85" s="18" t="n">
        <x:f>'Provincial Inputs'!E4</x:f>
        <x:v>0</x:v>
      </x:c>
      <x:c r="J85" s="18" t="str">
        <x:f>IF(H85="","",H85*F85)</x:f>
      </x:c>
      <x:c r="K85" s="18" t="str">
        <x:f>IF(I85="","",I85*G85)</x:f>
      </x:c>
      <x:c r="L85" s="18" t="str">
        <x:f>IF(OR(J85="",K85=""),"",J85-K85)</x:f>
      </x:c>
      <x:c r="M85" s="18" t="str">
        <x:f>IFERROR(J85/K85,"")</x:f>
      </x:c>
      <x:c r="N85" s="16" t="n">
        <x:f>'Commodity Benchmark'!J85</x:f>
        <x:v>51.149425284827586</x:v>
      </x:c>
      <x:c r="O85" t="str">
        <x:f>'Commodity Benchmark'!K85</x:f>
        <x:v>BALANCED</x:v>
      </x:c>
    </x:row>
    <x:row r="86">
      <x:c r="A86" t="str">
        <x:v>Red Onion</x:v>
      </x:c>
      <x:c r="B86" t="n">
        <x:v>2026</x:v>
      </x:c>
      <x:c r="C86" t="str">
        <x:v>Q3</x:v>
      </x:c>
      <x:c r="D86" t="str">
        <x:v>0403425</x:v>
      </x:c>
      <x:c r="E86" t="str">
        <x:v>San Pedro</x:v>
      </x:c>
      <x:c r="F86" s="14" t="n">
        <x:f>'Commodity Benchmark'!E86</x:f>
        <x:v>0.09592749434916523</x:v>
      </x:c>
      <x:c r="G86" s="14" t="n">
        <x:f>'Commodity Benchmark'!G86</x:f>
        <x:v>0.004864672093196646</x:v>
      </x:c>
      <x:c r="H86" s="18" t="n">
        <x:f>'Provincial Inputs'!D4</x:f>
        <x:v>0</x:v>
      </x:c>
      <x:c r="I86" s="18" t="n">
        <x:f>'Provincial Inputs'!E4</x:f>
        <x:v>0</x:v>
      </x:c>
      <x:c r="J86" s="18" t="str">
        <x:f>IF(H86="","",H86*F86)</x:f>
      </x:c>
      <x:c r="K86" s="18" t="str">
        <x:f>IF(I86="","",I86*G86)</x:f>
      </x:c>
      <x:c r="L86" s="18" t="str">
        <x:f>IF(OR(J86="",K86=""),"",J86-K86)</x:f>
      </x:c>
      <x:c r="M86" s="18" t="str">
        <x:f>IFERROR(J86/K86,"")</x:f>
      </x:c>
      <x:c r="N86" s="16" t="n">
        <x:f>'Commodity Benchmark'!J86</x:f>
        <x:v>91.95402298896552</x:v>
      </x:c>
      <x:c r="O86" t="str">
        <x:f>'Commodity Benchmark'!K86</x:f>
        <x:v>HIGH_OPPORTUNITY</x:v>
      </x:c>
    </x:row>
    <x:row r="87">
      <x:c r="A87" t="str">
        <x:v>Red Onion</x:v>
      </x:c>
      <x:c r="B87" t="n">
        <x:v>2026</x:v>
      </x:c>
      <x:c r="C87" t="str">
        <x:v>Q3</x:v>
      </x:c>
      <x:c r="D87" t="str">
        <x:v>0403426</x:v>
      </x:c>
      <x:c r="E87" t="str">
        <x:v>Santa Cruz</x:v>
      </x:c>
      <x:c r="F87" s="14" t="n">
        <x:f>'Commodity Benchmark'!E87</x:f>
        <x:v>0.03427145653978878</x:v>
      </x:c>
      <x:c r="G87" s="14" t="n">
        <x:f>'Commodity Benchmark'!G87</x:f>
        <x:v>0.012152446957182796</x:v>
      </x:c>
      <x:c r="H87" s="18" t="n">
        <x:f>'Provincial Inputs'!D4</x:f>
        <x:v>0</x:v>
      </x:c>
      <x:c r="I87" s="18" t="n">
        <x:f>'Provincial Inputs'!E4</x:f>
        <x:v>0</x:v>
      </x:c>
      <x:c r="J87" s="18" t="str">
        <x:f>IF(H87="","",H87*F87)</x:f>
      </x:c>
      <x:c r="K87" s="18" t="str">
        <x:f>IF(I87="","",I87*G87)</x:f>
      </x:c>
      <x:c r="L87" s="18" t="str">
        <x:f>IF(OR(J87="",K87=""),"",J87-K87)</x:f>
      </x:c>
      <x:c r="M87" s="18" t="str">
        <x:f>IFERROR(J87/K87,"")</x:f>
      </x:c>
      <x:c r="N87" s="16" t="n">
        <x:f>'Commodity Benchmark'!J87</x:f>
        <x:v>77.87356321827588</x:v>
      </x:c>
      <x:c r="O87" t="str">
        <x:f>'Commodity Benchmark'!K87</x:f>
        <x:v>HIGH_OPPORTUNITY</x:v>
      </x:c>
    </x:row>
    <x:row r="88">
      <x:c r="A88" t="str">
        <x:v>Red Onion</x:v>
      </x:c>
      <x:c r="B88" t="n">
        <x:v>2026</x:v>
      </x:c>
      <x:c r="C88" t="str">
        <x:v>Q3</x:v>
      </x:c>
      <x:c r="D88" t="str">
        <x:v>0403427</x:v>
      </x:c>
      <x:c r="E88" t="str">
        <x:v>Santa Maria</x:v>
      </x:c>
      <x:c r="F88" s="14" t="n">
        <x:f>'Commodity Benchmark'!E88</x:f>
        <x:v>0.008491184411097202</x:v>
      </x:c>
      <x:c r="G88" s="14" t="n">
        <x:f>'Commodity Benchmark'!G88</x:f>
        <x:v>0.08549924799439049</x:v>
      </x:c>
      <x:c r="H88" s="18" t="n">
        <x:f>'Provincial Inputs'!D4</x:f>
        <x:v>0</x:v>
      </x:c>
      <x:c r="I88" s="18" t="n">
        <x:f>'Provincial Inputs'!E4</x:f>
        <x:v>0</x:v>
      </x:c>
      <x:c r="J88" s="18" t="str">
        <x:f>IF(H88="","",H88*F88)</x:f>
      </x:c>
      <x:c r="K88" s="18" t="str">
        <x:f>IF(I88="","",I88*G88)</x:f>
      </x:c>
      <x:c r="L88" s="18" t="str">
        <x:f>IF(OR(J88="",K88=""),"",J88-K88)</x:f>
      </x:c>
      <x:c r="M88" s="18" t="str">
        <x:f>IFERROR(J88/K88,"")</x:f>
      </x:c>
      <x:c r="N88" s="16" t="n">
        <x:f>'Commodity Benchmark'!J88</x:f>
        <x:v>25.574712642413793</x:v>
      </x:c>
      <x:c r="O88" t="str">
        <x:f>'Commodity Benchmark'!K88</x:f>
        <x:v>OVERSUPPLY_LEANING</x:v>
      </x:c>
    </x:row>
    <x:row r="89">
      <x:c r="A89" t="str">
        <x:v>Red Onion</x:v>
      </x:c>
      <x:c r="B89" t="n">
        <x:v>2026</x:v>
      </x:c>
      <x:c r="C89" t="str">
        <x:v>Q3</x:v>
      </x:c>
      <x:c r="D89" t="str">
        <x:v>0403428</x:v>
      </x:c>
      <x:c r="E89" t="str">
        <x:v>Santa Rosa</x:v>
      </x:c>
      <x:c r="F89" s="14" t="n">
        <x:f>'Commodity Benchmark'!E89</x:f>
        <x:v>0.11921820116219989</x:v>
      </x:c>
      <x:c r="G89" s="14" t="n">
        <x:f>'Commodity Benchmark'!G89</x:f>
        <x:v>0.011777915623801224</x:v>
      </x:c>
      <x:c r="H89" s="18" t="n">
        <x:f>'Provincial Inputs'!D4</x:f>
        <x:v>0</x:v>
      </x:c>
      <x:c r="I89" s="18" t="n">
        <x:f>'Provincial Inputs'!E4</x:f>
        <x:v>0</x:v>
      </x:c>
      <x:c r="J89" s="18" t="str">
        <x:f>IF(H89="","",H89*F89)</x:f>
      </x:c>
      <x:c r="K89" s="18" t="str">
        <x:f>IF(I89="","",I89*G89)</x:f>
      </x:c>
      <x:c r="L89" s="18" t="str">
        <x:f>IF(OR(J89="",K89=""),"",J89-K89)</x:f>
      </x:c>
      <x:c r="M89" s="18" t="str">
        <x:f>IFERROR(J89/K89,"")</x:f>
      </x:c>
      <x:c r="N89" s="16" t="n">
        <x:f>'Commodity Benchmark'!J89</x:f>
        <x:v>87.35632183862069</x:v>
      </x:c>
      <x:c r="O89" t="str">
        <x:f>'Commodity Benchmark'!K89</x:f>
        <x:v>HIGH_OPPORTUNITY</x:v>
      </x:c>
    </x:row>
    <x:row r="90">
      <x:c r="A90" t="str">
        <x:v>Red Onion</x:v>
      </x:c>
      <x:c r="B90" t="n">
        <x:v>2026</x:v>
      </x:c>
      <x:c r="C90" t="str">
        <x:v>Q3</x:v>
      </x:c>
      <x:c r="D90" t="str">
        <x:v>0403429</x:v>
      </x:c>
      <x:c r="E90" t="str">
        <x:v>Siniloan</x:v>
      </x:c>
      <x:c r="F90" s="14" t="n">
        <x:f>'Commodity Benchmark'!E90</x:f>
        <x:v>0.010923461441461441</x:v>
      </x:c>
      <x:c r="G90" s="14" t="n">
        <x:f>'Commodity Benchmark'!G90</x:f>
        <x:v>0.039739607032300034</x:v>
      </x:c>
      <x:c r="H90" s="18" t="n">
        <x:f>'Provincial Inputs'!D4</x:f>
        <x:v>0</x:v>
      </x:c>
      <x:c r="I90" s="18" t="n">
        <x:f>'Provincial Inputs'!E4</x:f>
        <x:v>0</x:v>
      </x:c>
      <x:c r="J90" s="18" t="str">
        <x:f>IF(H90="","",H90*F90)</x:f>
      </x:c>
      <x:c r="K90" s="18" t="str">
        <x:f>IF(I90="","",I90*G90)</x:f>
      </x:c>
      <x:c r="L90" s="18" t="str">
        <x:f>IF(OR(J90="",K90=""),"",J90-K90)</x:f>
      </x:c>
      <x:c r="M90" s="18" t="str">
        <x:f>IFERROR(J90/K90,"")</x:f>
      </x:c>
      <x:c r="N90" s="16" t="n">
        <x:f>'Commodity Benchmark'!J90</x:f>
        <x:v>38.2183908037931</x:v>
      </x:c>
      <x:c r="O90" t="str">
        <x:f>'Commodity Benchmark'!K90</x:f>
        <x:v>OVERSUPPLY_LEANING</x:v>
      </x:c>
    </x:row>
    <x:row r="91">
      <x:c r="A91" t="str">
        <x:v>Red Onion</x:v>
      </x:c>
      <x:c r="B91" t="n">
        <x:v>2026</x:v>
      </x:c>
      <x:c r="C91" t="str">
        <x:v>Q3</x:v>
      </x:c>
      <x:c r="D91" t="str">
        <x:v>0403430</x:v>
      </x:c>
      <x:c r="E91" t="str">
        <x:v>Victoria</x:v>
      </x:c>
      <x:c r="F91" s="14" t="n">
        <x:f>'Commodity Benchmark'!E91</x:f>
        <x:v>0.012169202310186875</x:v>
      </x:c>
      <x:c r="G91" s="14" t="n">
        <x:f>'Commodity Benchmark'!G91</x:f>
        <x:v>0.008810465028688414</x:v>
      </x:c>
      <x:c r="H91" s="18" t="n">
        <x:f>'Provincial Inputs'!D4</x:f>
        <x:v>0</x:v>
      </x:c>
      <x:c r="I91" s="18" t="n">
        <x:f>'Provincial Inputs'!E4</x:f>
        <x:v>0</x:v>
      </x:c>
      <x:c r="J91" s="18" t="str">
        <x:f>IF(H91="","",H91*F91)</x:f>
      </x:c>
      <x:c r="K91" s="18" t="str">
        <x:f>IF(I91="","",I91*G91)</x:f>
      </x:c>
      <x:c r="L91" s="18" t="str">
        <x:f>IF(OR(J91="",K91=""),"",J91-K91)</x:f>
      </x:c>
      <x:c r="M91" s="18" t="str">
        <x:f>IFERROR(J91/K91,"")</x:f>
      </x:c>
      <x:c r="N91" s="16" t="n">
        <x:f>'Commodity Benchmark'!J91</x:f>
        <x:v>69.5402298862069</x:v>
      </x:c>
      <x:c r="O91" t="str">
        <x:f>'Commodity Benchmark'!K91</x:f>
        <x:v>UNDERSUPPLY_LEANING</x:v>
      </x:c>
    </x:row>
    <x:row r="92">
      <x:c r="A92" t="str">
        <x:v>Banana</x:v>
      </x:c>
      <x:c r="B92" t="n">
        <x:v>2026</x:v>
      </x:c>
      <x:c r="C92" t="str">
        <x:v>Q3</x:v>
      </x:c>
      <x:c r="D92" t="str">
        <x:v>0403401</x:v>
      </x:c>
      <x:c r="E92" t="str">
        <x:v>Alaminos</x:v>
      </x:c>
      <x:c r="F92" s="14" t="n">
        <x:f>'Commodity Benchmark'!E92</x:f>
        <x:v>0.013909675391322093</x:v>
      </x:c>
      <x:c r="G92" s="14" t="n">
        <x:f>'Commodity Benchmark'!G92</x:f>
        <x:v>0.03335097950191756</x:v>
      </x:c>
      <x:c r="H92" s="18" t="n">
        <x:f>'Provincial Inputs'!D5</x:f>
        <x:v>0</x:v>
      </x:c>
      <x:c r="I92" s="18" t="n">
        <x:f>'Provincial Inputs'!E5</x:f>
        <x:v>6188.95</x:v>
      </x:c>
      <x:c r="J92" s="18" t="str">
        <x:f>IF(H92="","",H92*F92)</x:f>
      </x:c>
      <x:c r="K92" s="18" t="n">
        <x:f>IF(I92="","",I92*G92)</x:f>
        <x:v>206.40754458839268</x:v>
      </x:c>
      <x:c r="L92" s="18" t="str">
        <x:f>IF(OR(J92="",K92=""),"",J92-K92)</x:f>
      </x:c>
      <x:c r="M92" s="18" t="n">
        <x:f>IFERROR(J92/K92,"")</x:f>
        <x:v>0</x:v>
      </x:c>
      <x:c r="N92" s="16" t="n">
        <x:f>'Commodity Benchmark'!J92</x:f>
        <x:v>49.99999999931034</x:v>
      </x:c>
      <x:c r="O92" t="str">
        <x:f>'Commodity Benchmark'!K92</x:f>
        <x:v>BALANCED</x:v>
      </x:c>
    </x:row>
    <x:row r="93">
      <x:c r="A93" t="str">
        <x:v>Banana</x:v>
      </x:c>
      <x:c r="B93" t="n">
        <x:v>2026</x:v>
      </x:c>
      <x:c r="C93" t="str">
        <x:v>Q3</x:v>
      </x:c>
      <x:c r="D93" t="str">
        <x:v>0403402</x:v>
      </x:c>
      <x:c r="E93" t="str">
        <x:v>Bay</x:v>
      </x:c>
      <x:c r="F93" s="14" t="n">
        <x:f>'Commodity Benchmark'!E93</x:f>
        <x:v>0.018865307543054568</x:v>
      </x:c>
      <x:c r="G93" s="14" t="n">
        <x:f>'Commodity Benchmark'!G93</x:f>
        <x:v>0.017744368251389836</x:v>
      </x:c>
      <x:c r="H93" s="18" t="n">
        <x:f>'Provincial Inputs'!D5</x:f>
        <x:v>0</x:v>
      </x:c>
      <x:c r="I93" s="18" t="n">
        <x:f>'Provincial Inputs'!E5</x:f>
        <x:v>6188.95</x:v>
      </x:c>
      <x:c r="J93" s="18" t="str">
        <x:f>IF(H93="","",H93*F93)</x:f>
      </x:c>
      <x:c r="K93" s="18" t="n">
        <x:f>IF(I93="","",I93*G93)</x:f>
        <x:v>109.81900788943912</x:v>
      </x:c>
      <x:c r="L93" s="18" t="str">
        <x:f>IF(OR(J93="",K93=""),"",J93-K93)</x:f>
      </x:c>
      <x:c r="M93" s="18" t="n">
        <x:f>IFERROR(J93/K93,"")</x:f>
        <x:v>0</x:v>
      </x:c>
      <x:c r="N93" s="16" t="n">
        <x:f>'Commodity Benchmark'!J93</x:f>
        <x:v>68.96551724137932</x:v>
      </x:c>
      <x:c r="O93" t="str">
        <x:f>'Commodity Benchmark'!K93</x:f>
        <x:v>UNDERSUPPLY_LEANING</x:v>
      </x:c>
    </x:row>
    <x:row r="94">
      <x:c r="A94" t="str">
        <x:v>Banana</x:v>
      </x:c>
      <x:c r="B94" t="n">
        <x:v>2026</x:v>
      </x:c>
      <x:c r="C94" t="str">
        <x:v>Q3</x:v>
      </x:c>
      <x:c r="D94" t="str">
        <x:v>0403403</x:v>
      </x:c>
      <x:c r="E94" t="str">
        <x:v>Biñan</x:v>
      </x:c>
      <x:c r="F94" s="14" t="n">
        <x:f>'Commodity Benchmark'!E94</x:f>
        <x:v>0.1613783856100605</x:v>
      </x:c>
      <x:c r="G94" s="14" t="n">
        <x:f>'Commodity Benchmark'!G94</x:f>
        <x:v>0.00891119381637697</x:v>
      </x:c>
      <x:c r="H94" s="18" t="n">
        <x:f>'Provincial Inputs'!D5</x:f>
        <x:v>0</x:v>
      </x:c>
      <x:c r="I94" s="18" t="n">
        <x:f>'Provincial Inputs'!E5</x:f>
        <x:v>6188.95</x:v>
      </x:c>
      <x:c r="J94" s="18" t="str">
        <x:f>IF(H94="","",H94*F94)</x:f>
      </x:c>
      <x:c r="K94" s="18" t="n">
        <x:f>IF(I94="","",I94*G94)</x:f>
        <x:v>55.150932969866254</x:v>
      </x:c>
      <x:c r="L94" s="18" t="str">
        <x:f>IF(OR(J94="",K94=""),"",J94-K94)</x:f>
      </x:c>
      <x:c r="M94" s="18" t="n">
        <x:f>IFERROR(J94/K94,"")</x:f>
        <x:v>0</x:v>
      </x:c>
      <x:c r="N94" s="16" t="n">
        <x:f>'Commodity Benchmark'!J94</x:f>
        <x:v>98.56321839068966</x:v>
      </x:c>
      <x:c r="O94" t="str">
        <x:f>'Commodity Benchmark'!K94</x:f>
        <x:v>HIGH_OPPORTUNITY</x:v>
      </x:c>
    </x:row>
    <x:row r="95">
      <x:c r="A95" t="str">
        <x:v>Banana</x:v>
      </x:c>
      <x:c r="B95" t="n">
        <x:v>2026</x:v>
      </x:c>
      <x:c r="C95" t="str">
        <x:v>Q3</x:v>
      </x:c>
      <x:c r="D95" t="str">
        <x:v>0403404</x:v>
      </x:c>
      <x:c r="E95" t="str">
        <x:v>Cabuyao</x:v>
      </x:c>
      <x:c r="F95" s="14" t="n">
        <x:f>'Commodity Benchmark'!E95</x:f>
        <x:v>0.10103667850375411</x:v>
      </x:c>
      <x:c r="G95" s="14" t="n">
        <x:f>'Commodity Benchmark'!G95</x:f>
        <x:v>0.009787746800952998</x:v>
      </x:c>
      <x:c r="H95" s="18" t="n">
        <x:f>'Provincial Inputs'!D5</x:f>
        <x:v>0</x:v>
      </x:c>
      <x:c r="I95" s="18" t="n">
        <x:f>'Provincial Inputs'!E5</x:f>
        <x:v>6188.95</x:v>
      </x:c>
      <x:c r="J95" s="18" t="str">
        <x:f>IF(H95="","",H95*F95)</x:f>
      </x:c>
      <x:c r="K95" s="18" t="n">
        <x:f>IF(I95="","",I95*G95)</x:f>
        <x:v>60.57587556375806</x:v>
      </x:c>
      <x:c r="L95" s="18" t="str">
        <x:f>IF(OR(J95="",K95=""),"",J95-K95)</x:f>
      </x:c>
      <x:c r="M95" s="18" t="n">
        <x:f>IFERROR(J95/K95,"")</x:f>
        <x:v>0</x:v>
      </x:c>
      <x:c r="N95" s="16" t="n">
        <x:f>'Commodity Benchmark'!J95</x:f>
        <x:v>88.21839080448277</x:v>
      </x:c>
      <x:c r="O95" t="str">
        <x:f>'Commodity Benchmark'!K95</x:f>
        <x:v>HIGH_OPPORTUNITY</x:v>
      </x:c>
    </x:row>
    <x:row r="96">
      <x:c r="A96" t="str">
        <x:v>Banana</x:v>
      </x:c>
      <x:c r="B96" t="n">
        <x:v>2026</x:v>
      </x:c>
      <x:c r="C96" t="str">
        <x:v>Q3</x:v>
      </x:c>
      <x:c r="D96" t="str">
        <x:v>0403405</x:v>
      </x:c>
      <x:c r="E96" t="str">
        <x:v>Calamba</x:v>
      </x:c>
      <x:c r="F96" s="14" t="n">
        <x:f>'Commodity Benchmark'!E96</x:f>
        <x:v>0.1580102321719133</x:v>
      </x:c>
      <x:c r="G96" s="14" t="n">
        <x:f>'Commodity Benchmark'!G96</x:f>
        <x:v>0.04302574966727968</x:v>
      </x:c>
      <x:c r="H96" s="18" t="n">
        <x:f>'Provincial Inputs'!D5</x:f>
        <x:v>0</x:v>
      </x:c>
      <x:c r="I96" s="18" t="n">
        <x:f>'Provincial Inputs'!E5</x:f>
        <x:v>6188.95</x:v>
      </x:c>
      <x:c r="J96" s="18" t="str">
        <x:f>IF(H96="","",H96*F96)</x:f>
      </x:c>
      <x:c r="K96" s="18" t="n">
        <x:f>IF(I96="","",I96*G96)</x:f>
        <x:v>266.28421340331056</x:v>
      </x:c>
      <x:c r="L96" s="18" t="str">
        <x:f>IF(OR(J96="",K96=""),"",J96-K96)</x:f>
      </x:c>
      <x:c r="M96" s="18" t="n">
        <x:f>IFERROR(J96/K96,"")</x:f>
        <x:v>0</x:v>
      </x:c>
      <x:c r="N96" s="16" t="n">
        <x:f>'Commodity Benchmark'!J96</x:f>
        <x:v>66.37931034241379</x:v>
      </x:c>
      <x:c r="O96" t="str">
        <x:f>'Commodity Benchmark'!K96</x:f>
        <x:v>UNDERSUPPLY_LEANING</x:v>
      </x:c>
    </x:row>
    <x:row r="97">
      <x:c r="A97" t="str">
        <x:v>Banana</x:v>
      </x:c>
      <x:c r="B97" t="n">
        <x:v>2026</x:v>
      </x:c>
      <x:c r="C97" t="str">
        <x:v>Q3</x:v>
      </x:c>
      <x:c r="D97" t="str">
        <x:v>0403406</x:v>
      </x:c>
      <x:c r="E97" t="str">
        <x:v>Calauan</x:v>
      </x:c>
      <x:c r="F97" s="14" t="n">
        <x:f>'Commodity Benchmark'!E97</x:f>
        <x:v>0.024093603384818266</x:v>
      </x:c>
      <x:c r="G97" s="14" t="n">
        <x:f>'Commodity Benchmark'!G97</x:f>
        <x:v>0.02994241261184485</x:v>
      </x:c>
      <x:c r="H97" s="18" t="n">
        <x:f>'Provincial Inputs'!D5</x:f>
        <x:v>0</x:v>
      </x:c>
      <x:c r="I97" s="18" t="n">
        <x:f>'Provincial Inputs'!E5</x:f>
        <x:v>6188.95</x:v>
      </x:c>
      <x:c r="J97" s="18" t="str">
        <x:f>IF(H97="","",H97*F97)</x:f>
      </x:c>
      <x:c r="K97" s="18" t="n">
        <x:f>IF(I97="","",I97*G97)</x:f>
        <x:v>185.31209453407718</x:v>
      </x:c>
      <x:c r="L97" s="18" t="str">
        <x:f>IF(OR(J97="",K97=""),"",J97-K97)</x:f>
      </x:c>
      <x:c r="M97" s="18" t="n">
        <x:f>IFERROR(J97/K97,"")</x:f>
        <x:v>0</x:v>
      </x:c>
      <x:c r="N97" s="16" t="n">
        <x:f>'Commodity Benchmark'!J97</x:f>
        <x:v>60.919540228965516</x:v>
      </x:c>
      <x:c r="O97" t="str">
        <x:f>'Commodity Benchmark'!K97</x:f>
        <x:v>UNDERSUPPLY_LEANING</x:v>
      </x:c>
    </x:row>
    <x:row r="98">
      <x:c r="A98" t="str">
        <x:v>Banana</x:v>
      </x:c>
      <x:c r="B98" t="n">
        <x:v>2026</x:v>
      </x:c>
      <x:c r="C98" t="str">
        <x:v>Q3</x:v>
      </x:c>
      <x:c r="D98" t="str">
        <x:v>0403407</x:v>
      </x:c>
      <x:c r="E98" t="str">
        <x:v>Cavinti</x:v>
      </x:c>
      <x:c r="F98" s="14" t="n">
        <x:f>'Commodity Benchmark'!E98</x:f>
        <x:v>0.006351068303993657</x:v>
      </x:c>
      <x:c r="G98" s="14" t="n">
        <x:f>'Commodity Benchmark'!G98</x:f>
        <x:v>0.11222034528170674</x:v>
      </x:c>
      <x:c r="H98" s="18" t="n">
        <x:f>'Provincial Inputs'!D5</x:f>
        <x:v>0</x:v>
      </x:c>
      <x:c r="I98" s="18" t="n">
        <x:f>'Provincial Inputs'!E5</x:f>
        <x:v>6188.95</x:v>
      </x:c>
      <x:c r="J98" s="18" t="str">
        <x:f>IF(H98="","",H98*F98)</x:f>
      </x:c>
      <x:c r="K98" s="18" t="n">
        <x:f>IF(I98="","",I98*G98)</x:f>
        <x:v>694.5261059312189</x:v>
      </x:c>
      <x:c r="L98" s="18" t="str">
        <x:f>IF(OR(J98="",K98=""),"",J98-K98)</x:f>
      </x:c>
      <x:c r="M98" s="18" t="n">
        <x:f>IFERROR(J98/K98,"")</x:f>
        <x:v>0</x:v>
      </x:c>
      <x:c r="N98" s="16" t="n">
        <x:f>'Commodity Benchmark'!J98</x:f>
        <x:v>10.057471263793104</x:v>
      </x:c>
      <x:c r="O98" t="str">
        <x:f>'Commodity Benchmark'!K98</x:f>
        <x:v>SEVERE_OVERSUPPLY</x:v>
      </x:c>
    </x:row>
    <x:row r="99">
      <x:c r="A99" t="str">
        <x:v>Banana</x:v>
      </x:c>
      <x:c r="B99" t="n">
        <x:v>2026</x:v>
      </x:c>
      <x:c r="C99" t="str">
        <x:v>Q3</x:v>
      </x:c>
      <x:c r="D99" t="str">
        <x:v>0403408</x:v>
      </x:c>
      <x:c r="E99" t="str">
        <x:v>Famy</x:v>
      </x:c>
      <x:c r="F99" s="14" t="n">
        <x:f>'Commodity Benchmark'!E99</x:f>
        <x:v>0.004456411218566179</x:v>
      </x:c>
      <x:c r="G99" s="14" t="n">
        <x:f>'Commodity Benchmark'!G99</x:f>
        <x:v>0.03497359475318065</x:v>
      </x:c>
      <x:c r="H99" s="18" t="n">
        <x:f>'Provincial Inputs'!D5</x:f>
        <x:v>0</x:v>
      </x:c>
      <x:c r="I99" s="18" t="n">
        <x:f>'Provincial Inputs'!E5</x:f>
        <x:v>6188.95</x:v>
      </x:c>
      <x:c r="J99" s="18" t="str">
        <x:f>IF(H99="","",H99*F99)</x:f>
      </x:c>
      <x:c r="K99" s="18" t="n">
        <x:f>IF(I99="","",I99*G99)</x:f>
        <x:v>216.44982924769735</x:v>
      </x:c>
      <x:c r="L99" s="18" t="str">
        <x:f>IF(OR(J99="",K99=""),"",J99-K99)</x:f>
      </x:c>
      <x:c r="M99" s="18" t="n">
        <x:f>IFERROR(J99/K99,"")</x:f>
        <x:v>0</x:v>
      </x:c>
      <x:c r="N99" s="16" t="n">
        <x:f>'Commodity Benchmark'!J99</x:f>
        <x:v>14.36781609310345</x:v>
      </x:c>
      <x:c r="O99" t="str">
        <x:f>'Commodity Benchmark'!K99</x:f>
        <x:v>SEVERE_OVERSUPPLY</x:v>
      </x:c>
    </x:row>
    <x:row r="100">
      <x:c r="A100" t="str">
        <x:v>Banana</x:v>
      </x:c>
      <x:c r="B100" t="n">
        <x:v>2026</x:v>
      </x:c>
      <x:c r="C100" t="str">
        <x:v>Q3</x:v>
      </x:c>
      <x:c r="D100" t="str">
        <x:v>0403409</x:v>
      </x:c>
      <x:c r="E100" t="str">
        <x:v>Kalayaan</x:v>
      </x:c>
      <x:c r="F100" s="14" t="n">
        <x:f>'Commodity Benchmark'!E100</x:f>
        <x:v>0.006983720996791543</x:v>
      </x:c>
      <x:c r="G100" s="14" t="n">
        <x:f>'Commodity Benchmark'!G100</x:f>
        <x:v>0.009287742589946328</x:v>
      </x:c>
      <x:c r="H100" s="18" t="n">
        <x:f>'Provincial Inputs'!D5</x:f>
        <x:v>0</x:v>
      </x:c>
      <x:c r="I100" s="18" t="n">
        <x:f>'Provincial Inputs'!E5</x:f>
        <x:v>6188.95</x:v>
      </x:c>
      <x:c r="J100" s="18" t="str">
        <x:f>IF(H100="","",H100*F100)</x:f>
      </x:c>
      <x:c r="K100" s="18" t="n">
        <x:f>IF(I100="","",I100*G100)</x:f>
        <x:v>57.481374502048325</x:v>
      </x:c>
      <x:c r="L100" s="18" t="str">
        <x:f>IF(OR(J100="",K100=""),"",J100-K100)</x:f>
      </x:c>
      <x:c r="M100" s="18" t="n">
        <x:f>IFERROR(J100/K100,"")</x:f>
        <x:v>0</x:v>
      </x:c>
      <x:c r="N100" s="16" t="n">
        <x:f>'Commodity Benchmark'!J100</x:f>
        <x:v>54.88505747344827</x:v>
      </x:c>
      <x:c r="O100" t="str">
        <x:f>'Commodity Benchmark'!K100</x:f>
        <x:v>BALANCED</x:v>
      </x:c>
    </x:row>
    <x:row r="101">
      <x:c r="A101" t="str">
        <x:v>Banana</x:v>
      </x:c>
      <x:c r="B101" t="n">
        <x:v>2026</x:v>
      </x:c>
      <x:c r="C101" t="str">
        <x:v>Q3</x:v>
      </x:c>
      <x:c r="D101" t="str">
        <x:v>0403410</x:v>
      </x:c>
      <x:c r="E101" t="str">
        <x:v>Liliw</x:v>
      </x:c>
      <x:c r="F101" s="14" t="n">
        <x:f>'Commodity Benchmark'!E101</x:f>
        <x:v>0.009953773620843992</x:v>
      </x:c>
      <x:c r="G101" s="14" t="n">
        <x:f>'Commodity Benchmark'!G101</x:f>
        <x:v>0.0323768553142535</x:v>
      </x:c>
      <x:c r="H101" s="18" t="n">
        <x:f>'Provincial Inputs'!D5</x:f>
        <x:v>0</x:v>
      </x:c>
      <x:c r="I101" s="18" t="n">
        <x:f>'Provincial Inputs'!E5</x:f>
        <x:v>6188.95</x:v>
      </x:c>
      <x:c r="J101" s="18" t="str">
        <x:f>IF(H101="","",H101*F101)</x:f>
      </x:c>
      <x:c r="K101" s="18" t="n">
        <x:f>IF(I101="","",I101*G101)</x:f>
        <x:v>200.3787386971492</x:v>
      </x:c>
      <x:c r="L101" s="18" t="str">
        <x:f>IF(OR(J101="",K101=""),"",J101-K101)</x:f>
      </x:c>
      <x:c r="M101" s="18" t="n">
        <x:f>IFERROR(J101/K101,"")</x:f>
        <x:v>0</x:v>
      </x:c>
      <x:c r="N101" s="16" t="n">
        <x:f>'Commodity Benchmark'!J101</x:f>
        <x:v>43.39080459758621</x:v>
      </x:c>
      <x:c r="O101" t="str">
        <x:f>'Commodity Benchmark'!K101</x:f>
        <x:v>BALANCED</x:v>
      </x:c>
    </x:row>
    <x:row r="102">
      <x:c r="A102" t="str">
        <x:v>Banana</x:v>
      </x:c>
      <x:c r="B102" t="n">
        <x:v>2026</x:v>
      </x:c>
      <x:c r="C102" t="str">
        <x:v>Q3</x:v>
      </x:c>
      <x:c r="D102" t="str">
        <x:v>0403411</x:v>
      </x:c>
      <x:c r="E102" t="str">
        <x:v>Los Baños</x:v>
      </x:c>
      <x:c r="F102" s="14" t="n">
        <x:f>'Commodity Benchmark'!E102</x:f>
        <x:v>0.03220264714835558</x:v>
      </x:c>
      <x:c r="G102" s="14" t="n">
        <x:f>'Commodity Benchmark'!G102</x:f>
        <x:v>0.012092872465141218</x:v>
      </x:c>
      <x:c r="H102" s="18" t="n">
        <x:f>'Provincial Inputs'!D5</x:f>
        <x:v>0</x:v>
      </x:c>
      <x:c r="I102" s="18" t="n">
        <x:f>'Provincial Inputs'!E5</x:f>
        <x:v>6188.95</x:v>
      </x:c>
      <x:c r="J102" s="18" t="str">
        <x:f>IF(H102="","",H102*F102)</x:f>
      </x:c>
      <x:c r="K102" s="18" t="n">
        <x:f>IF(I102="","",I102*G102)</x:f>
        <x:v>74.84218304313573</x:v>
      </x:c>
      <x:c r="L102" s="18" t="str">
        <x:f>IF(OR(J102="",K102=""),"",J102-K102)</x:f>
      </x:c>
      <x:c r="M102" s="18" t="n">
        <x:f>IFERROR(J102/K102,"")</x:f>
        <x:v>0</x:v>
      </x:c>
      <x:c r="N102" s="16" t="n">
        <x:f>'Commodity Benchmark'!J102</x:f>
        <x:v>77.29885057482758</x:v>
      </x:c>
      <x:c r="O102" t="str">
        <x:f>'Commodity Benchmark'!K102</x:f>
        <x:v>HIGH_OPPORTUNITY</x:v>
      </x:c>
    </x:row>
    <x:row r="103">
      <x:c r="A103" t="str">
        <x:v>Banana</x:v>
      </x:c>
      <x:c r="B103" t="n">
        <x:v>2026</x:v>
      </x:c>
      <x:c r="C103" t="str">
        <x:v>Q3</x:v>
      </x:c>
      <x:c r="D103" t="str">
        <x:v>0403412</x:v>
      </x:c>
      <x:c r="E103" t="str">
        <x:v>Luisiana</x:v>
      </x:c>
      <x:c r="F103" s="14" t="n">
        <x:f>'Commodity Benchmark'!E103</x:f>
        <x:v>0.005434039311119153</x:v>
      </x:c>
      <x:c r="G103" s="14" t="n">
        <x:f>'Commodity Benchmark'!G103</x:f>
        <x:v>0.05259866023853888</x:v>
      </x:c>
      <x:c r="H103" s="18" t="n">
        <x:f>'Provincial Inputs'!D5</x:f>
        <x:v>0</x:v>
      </x:c>
      <x:c r="I103" s="18" t="n">
        <x:f>'Provincial Inputs'!E5</x:f>
        <x:v>6188.95</x:v>
      </x:c>
      <x:c r="J103" s="18" t="str">
        <x:f>IF(H103="","",H103*F103)</x:f>
      </x:c>
      <x:c r="K103" s="18" t="n">
        <x:f>IF(I103="","",I103*G103)</x:f>
        <x:v>325.53047828330523</x:v>
      </x:c>
      <x:c r="L103" s="18" t="str">
        <x:f>IF(OR(J103="",K103=""),"",J103-K103)</x:f>
      </x:c>
      <x:c r="M103" s="18" t="n">
        <x:f>IFERROR(J103/K103,"")</x:f>
        <x:v>0</x:v>
      </x:c>
      <x:c r="N103" s="16" t="n">
        <x:f>'Commodity Benchmark'!J103</x:f>
        <x:v>11.781609195517241</x:v>
      </x:c>
      <x:c r="O103" t="str">
        <x:f>'Commodity Benchmark'!K103</x:f>
        <x:v>SEVERE_OVERSUPPLY</x:v>
      </x:c>
    </x:row>
    <x:row r="104">
      <x:c r="A104" t="str">
        <x:v>Banana</x:v>
      </x:c>
      <x:c r="B104" t="n">
        <x:v>2026</x:v>
      </x:c>
      <x:c r="C104" t="str">
        <x:v>Q3</x:v>
      </x:c>
      <x:c r="D104" t="str">
        <x:v>0403413</x:v>
      </x:c>
      <x:c r="E104" t="str">
        <x:v>Lumban</x:v>
      </x:c>
      <x:c r="F104" s="14" t="n">
        <x:f>'Commodity Benchmark'!E104</x:f>
        <x:v>0.00834397989490821</x:v>
      </x:c>
      <x:c r="G104" s="14" t="n">
        <x:f>'Commodity Benchmark'!G104</x:f>
        <x:v>0.024908147313877072</x:v>
      </x:c>
      <x:c r="H104" s="18" t="n">
        <x:f>'Provincial Inputs'!D5</x:f>
        <x:v>0</x:v>
      </x:c>
      <x:c r="I104" s="18" t="n">
        <x:f>'Provincial Inputs'!E5</x:f>
        <x:v>6188.95</x:v>
      </x:c>
      <x:c r="J104" s="18" t="str">
        <x:f>IF(H104="","",H104*F104)</x:f>
      </x:c>
      <x:c r="K104" s="18" t="n">
        <x:f>IF(I104="","",I104*G104)</x:f>
        <x:v>154.1552783182195</x:v>
      </x:c>
      <x:c r="L104" s="18" t="str">
        <x:f>IF(OR(J104="",K104=""),"",J104-K104)</x:f>
      </x:c>
      <x:c r="M104" s="18" t="n">
        <x:f>IFERROR(J104/K104,"")</x:f>
        <x:v>0</x:v>
      </x:c>
      <x:c r="N104" s="16" t="n">
        <x:f>'Commodity Benchmark'!J104</x:f>
        <x:v>43.67816092</x:v>
      </x:c>
      <x:c r="O104" t="str">
        <x:f>'Commodity Benchmark'!K104</x:f>
        <x:v>BALANCED</x:v>
      </x:c>
    </x:row>
    <x:row r="105">
      <x:c r="A105" t="str">
        <x:v>Banana</x:v>
      </x:c>
      <x:c r="B105" t="n">
        <x:v>2026</x:v>
      </x:c>
      <x:c r="C105" t="str">
        <x:v>Q3</x:v>
      </x:c>
      <x:c r="D105" t="str">
        <x:v>0403414</x:v>
      </x:c>
      <x:c r="E105" t="str">
        <x:v>Mabitac</x:v>
      </x:c>
      <x:c r="F105" s="14" t="n">
        <x:f>'Commodity Benchmark'!E105</x:f>
        <x:v>0.005415115787125153</x:v>
      </x:c>
      <x:c r="G105" s="14" t="n">
        <x:f>'Commodity Benchmark'!G105</x:f>
        <x:v>0.07977488564565584</x:v>
      </x:c>
      <x:c r="H105" s="18" t="n">
        <x:f>'Provincial Inputs'!D5</x:f>
        <x:v>0</x:v>
      </x:c>
      <x:c r="I105" s="18" t="n">
        <x:f>'Provincial Inputs'!E5</x:f>
        <x:v>6188.95</x:v>
      </x:c>
      <x:c r="J105" s="18" t="str">
        <x:f>IF(H105="","",H105*F105)</x:f>
      </x:c>
      <x:c r="K105" s="18" t="n">
        <x:f>IF(I105="","",I105*G105)</x:f>
        <x:v>493.7227785166817</x:v>
      </x:c>
      <x:c r="L105" s="18" t="str">
        <x:f>IF(OR(J105="",K105=""),"",J105-K105)</x:f>
      </x:c>
      <x:c r="M105" s="18" t="n">
        <x:f>IFERROR(J105/K105,"")</x:f>
        <x:v>0</x:v>
      </x:c>
      <x:c r="N105" s="16" t="n">
        <x:f>'Commodity Benchmark'!J105</x:f>
        <x:v>6.896551724137931</x:v>
      </x:c>
      <x:c r="O105" t="str">
        <x:f>'Commodity Benchmark'!K105</x:f>
        <x:v>SEVERE_OVERSUPPLY</x:v>
      </x:c>
    </x:row>
    <x:row r="106">
      <x:c r="A106" t="str">
        <x:v>Banana</x:v>
      </x:c>
      <x:c r="B106" t="n">
        <x:v>2026</x:v>
      </x:c>
      <x:c r="C106" t="str">
        <x:v>Q3</x:v>
      </x:c>
      <x:c r="D106" t="str">
        <x:v>0403415</x:v>
      </x:c>
      <x:c r="E106" t="str">
        <x:v>Magdalena</x:v>
      </x:c>
      <x:c r="F106" s="14" t="n">
        <x:f>'Commodity Benchmark'!E106</x:f>
        <x:v>0.007043356380044857</x:v>
      </x:c>
      <x:c r="G106" s="14" t="n">
        <x:f>'Commodity Benchmark'!G106</x:f>
        <x:v>0.023625519500429976</x:v>
      </x:c>
      <x:c r="H106" s="18" t="n">
        <x:f>'Provincial Inputs'!D5</x:f>
        <x:v>0</x:v>
      </x:c>
      <x:c r="I106" s="18" t="n">
        <x:f>'Provincial Inputs'!E5</x:f>
        <x:v>6188.95</x:v>
      </x:c>
      <x:c r="J106" s="18" t="str">
        <x:f>IF(H106="","",H106*F106)</x:f>
      </x:c>
      <x:c r="K106" s="18" t="n">
        <x:f>IF(I106="","",I106*G106)</x:f>
        <x:v>146.2171589121861</x:v>
      </x:c>
      <x:c r="L106" s="18" t="str">
        <x:f>IF(OR(J106="",K106=""),"",J106-K106)</x:f>
      </x:c>
      <x:c r="M106" s="18" t="n">
        <x:f>IFERROR(J106/K106,"")</x:f>
        <x:v>0</x:v>
      </x:c>
      <x:c r="N106" s="16" t="n">
        <x:f>'Commodity Benchmark'!J106</x:f>
        <x:v>42.52873563310345</x:v>
      </x:c>
      <x:c r="O106" t="str">
        <x:f>'Commodity Benchmark'!K106</x:f>
        <x:v>BALANCED</x:v>
      </x:c>
    </x:row>
    <x:row r="107">
      <x:c r="A107" t="str">
        <x:v>Banana</x:v>
      </x:c>
      <x:c r="B107" t="n">
        <x:v>2026</x:v>
      </x:c>
      <x:c r="C107" t="str">
        <x:v>Q3</x:v>
      </x:c>
      <x:c r="D107" t="str">
        <x:v>0403416</x:v>
      </x:c>
      <x:c r="E107" t="str">
        <x:v>Majayjay</x:v>
      </x:c>
      <x:c r="F107" s="14" t="n">
        <x:f>'Commodity Benchmark'!E107</x:f>
        <x:v>0.007097317472697046</x:v>
      </x:c>
      <x:c r="G107" s="14" t="n">
        <x:f>'Commodity Benchmark'!G107</x:f>
        <x:v>0.04964705579469799</x:v>
      </x:c>
      <x:c r="H107" s="18" t="n">
        <x:f>'Provincial Inputs'!D5</x:f>
        <x:v>0</x:v>
      </x:c>
      <x:c r="I107" s="18" t="n">
        <x:f>'Provincial Inputs'!E5</x:f>
        <x:v>6188.95</x:v>
      </x:c>
      <x:c r="J107" s="18" t="str">
        <x:f>IF(H107="","",H107*F107)</x:f>
      </x:c>
      <x:c r="K107" s="18" t="n">
        <x:f>IF(I107="","",I107*G107)</x:f>
        <x:v>307.2631459605961</x:v>
      </x:c>
      <x:c r="L107" s="18" t="str">
        <x:f>IF(OR(J107="",K107=""),"",J107-K107)</x:f>
      </x:c>
      <x:c r="M107" s="18" t="n">
        <x:f>IFERROR(J107/K107,"")</x:f>
        <x:v>0</x:v>
      </x:c>
      <x:c r="N107" s="16" t="n">
        <x:f>'Commodity Benchmark'!J107</x:f>
        <x:v>27.298850574137933</x:v>
      </x:c>
      <x:c r="O107" t="str">
        <x:f>'Commodity Benchmark'!K107</x:f>
        <x:v>OVERSUPPLY_LEANING</x:v>
      </x:c>
    </x:row>
    <x:row r="108">
      <x:c r="A108" t="str">
        <x:v>Banana</x:v>
      </x:c>
      <x:c r="B108" t="n">
        <x:v>2026</x:v>
      </x:c>
      <x:c r="C108" t="str">
        <x:v>Q3</x:v>
      </x:c>
      <x:c r="D108" t="str">
        <x:v>0403417</x:v>
      </x:c>
      <x:c r="E108" t="str">
        <x:v>Nagcarlan</x:v>
      </x:c>
      <x:c r="F108" s="14" t="n">
        <x:f>'Commodity Benchmark'!E108</x:f>
        <x:v>0.017062504551444698</x:v>
      </x:c>
      <x:c r="G108" s="14" t="n">
        <x:f>'Commodity Benchmark'!G108</x:f>
        <x:v>0.045040937629270285</x:v>
      </x:c>
      <x:c r="H108" s="18" t="n">
        <x:f>'Provincial Inputs'!D5</x:f>
        <x:v>0</x:v>
      </x:c>
      <x:c r="I108" s="18" t="n">
        <x:f>'Provincial Inputs'!E5</x:f>
        <x:v>6188.95</x:v>
      </x:c>
      <x:c r="J108" s="18" t="str">
        <x:f>IF(H108="","",H108*F108)</x:f>
      </x:c>
      <x:c r="K108" s="18" t="n">
        <x:f>IF(I108="","",I108*G108)</x:f>
        <x:v>278.75611094067233</x:v>
      </x:c>
      <x:c r="L108" s="18" t="str">
        <x:f>IF(OR(J108="",K108=""),"",J108-K108)</x:f>
      </x:c>
      <x:c r="M108" s="18" t="n">
        <x:f>IFERROR(J108/K108,"")</x:f>
        <x:v>0</x:v>
      </x:c>
      <x:c r="N108" s="16" t="n">
        <x:f>'Commodity Benchmark'!J108</x:f>
        <x:v>46.83908045827587</x:v>
      </x:c>
      <x:c r="O108" t="str">
        <x:f>'Commodity Benchmark'!K108</x:f>
        <x:v>BALANCED</x:v>
      </x:c>
    </x:row>
    <x:row r="109">
      <x:c r="A109" t="str">
        <x:v>Banana</x:v>
      </x:c>
      <x:c r="B109" t="n">
        <x:v>2026</x:v>
      </x:c>
      <x:c r="C109" t="str">
        <x:v>Q3</x:v>
      </x:c>
      <x:c r="D109" t="str">
        <x:v>0403418</x:v>
      </x:c>
      <x:c r="E109" t="str">
        <x:v>Paete</x:v>
      </x:c>
      <x:c r="F109" s="14" t="n">
        <x:f>'Commodity Benchmark'!E109</x:f>
        <x:v>0.006645111481574426</x:v>
      </x:c>
      <x:c r="G109" s="14" t="n">
        <x:f>'Commodity Benchmark'!G109</x:f>
        <x:v>0.025889866428851962</x:v>
      </x:c>
      <x:c r="H109" s="18" t="n">
        <x:f>'Provincial Inputs'!D5</x:f>
        <x:v>0</x:v>
      </x:c>
      <x:c r="I109" s="18" t="n">
        <x:f>'Provincial Inputs'!E5</x:f>
        <x:v>6188.95</x:v>
      </x:c>
      <x:c r="J109" s="18" t="str">
        <x:f>IF(H109="","",H109*F109)</x:f>
      </x:c>
      <x:c r="K109" s="18" t="n">
        <x:f>IF(I109="","",I109*G109)</x:f>
        <x:v>160.23108883484335</x:v>
      </x:c>
      <x:c r="L109" s="18" t="str">
        <x:f>IF(OR(J109="",K109=""),"",J109-K109)</x:f>
      </x:c>
      <x:c r="M109" s="18" t="n">
        <x:f>IFERROR(J109/K109,"")</x:f>
        <x:v>0</x:v>
      </x:c>
      <x:c r="N109" s="16" t="n">
        <x:f>'Commodity Benchmark'!J109</x:f>
        <x:v>32.18390804689655</x:v>
      </x:c>
      <x:c r="O109" t="str">
        <x:f>'Commodity Benchmark'!K109</x:f>
        <x:v>OVERSUPPLY_LEANING</x:v>
      </x:c>
    </x:row>
    <x:row r="110">
      <x:c r="A110" t="str">
        <x:v>Banana</x:v>
      </x:c>
      <x:c r="B110" t="n">
        <x:v>2026</x:v>
      </x:c>
      <x:c r="C110" t="str">
        <x:v>Q3</x:v>
      </x:c>
      <x:c r="D110" t="str">
        <x:v>0403419</x:v>
      </x:c>
      <x:c r="E110" t="str">
        <x:v>Pagsanjan</x:v>
      </x:c>
      <x:c r="F110" s="14" t="n">
        <x:f>'Commodity Benchmark'!E110</x:f>
        <x:v>0.012028319385316677</x:v>
      </x:c>
      <x:c r="G110" s="14" t="n">
        <x:f>'Commodity Benchmark'!G110</x:f>
        <x:v>0.015310196638721494</x:v>
      </x:c>
      <x:c r="H110" s="18" t="n">
        <x:f>'Provincial Inputs'!D5</x:f>
        <x:v>0</x:v>
      </x:c>
      <x:c r="I110" s="18" t="n">
        <x:f>'Provincial Inputs'!E5</x:f>
        <x:v>6188.95</x:v>
      </x:c>
      <x:c r="J110" s="18" t="str">
        <x:f>IF(H110="","",H110*F110)</x:f>
      </x:c>
      <x:c r="K110" s="18" t="n">
        <x:f>IF(I110="","",I110*G110)</x:f>
        <x:v>94.75404148721539</x:v>
      </x:c>
      <x:c r="L110" s="18" t="str">
        <x:f>IF(OR(J110="",K110=""),"",J110-K110)</x:f>
      </x:c>
      <x:c r="M110" s="18" t="n">
        <x:f>IFERROR(J110/K110,"")</x:f>
        <x:v>0</x:v>
      </x:c>
      <x:c r="N110" s="16" t="n">
        <x:f>'Commodity Benchmark'!J110</x:f>
        <x:v>60.34482758689656</x:v>
      </x:c>
      <x:c r="O110" t="str">
        <x:f>'Commodity Benchmark'!K110</x:f>
        <x:v>UNDERSUPPLY_LEANING</x:v>
      </x:c>
    </x:row>
    <x:row r="111">
      <x:c r="A111" t="str">
        <x:v>Banana</x:v>
      </x:c>
      <x:c r="B111" t="n">
        <x:v>2026</x:v>
      </x:c>
      <x:c r="C111" t="str">
        <x:v>Q3</x:v>
      </x:c>
      <x:c r="D111" t="str">
        <x:v>0403420</x:v>
      </x:c>
      <x:c r="E111" t="str">
        <x:v>Pakil</x:v>
      </x:c>
      <x:c r="F111" s="14" t="n">
        <x:f>'Commodity Benchmark'!E111</x:f>
        <x:v>0.005968877857686415</x:v>
      </x:c>
      <x:c r="G111" s="14" t="n">
        <x:f>'Commodity Benchmark'!G111</x:f>
        <x:v>0.037392346040526436</x:v>
      </x:c>
      <x:c r="H111" s="18" t="n">
        <x:f>'Provincial Inputs'!D5</x:f>
        <x:v>0</x:v>
      </x:c>
      <x:c r="I111" s="18" t="n">
        <x:f>'Provincial Inputs'!E5</x:f>
        <x:v>6188.95</x:v>
      </x:c>
      <x:c r="J111" s="18" t="str">
        <x:f>IF(H111="","",H111*F111)</x:f>
      </x:c>
      <x:c r="K111" s="18" t="n">
        <x:f>IF(I111="","",I111*G111)</x:f>
        <x:v>231.4193600275161</x:v>
      </x:c>
      <x:c r="L111" s="18" t="str">
        <x:f>IF(OR(J111="",K111=""),"",J111-K111)</x:f>
      </x:c>
      <x:c r="M111" s="18" t="n">
        <x:f>IFERROR(J111/K111,"")</x:f>
        <x:v>0</x:v>
      </x:c>
      <x:c r="N111" s="16" t="n">
        <x:f>'Commodity Benchmark'!J111</x:f>
        <x:v>20.977011494827586</x:v>
      </x:c>
      <x:c r="O111" t="str">
        <x:f>'Commodity Benchmark'!K111</x:f>
        <x:v>SEVERE_OVERSUPPLY</x:v>
      </x:c>
    </x:row>
    <x:row r="112">
      <x:c r="A112" t="str">
        <x:v>Banana</x:v>
      </x:c>
      <x:c r="B112" t="n">
        <x:v>2026</x:v>
      </x:c>
      <x:c r="C112" t="str">
        <x:v>Q3</x:v>
      </x:c>
      <x:c r="D112" t="str">
        <x:v>0403421</x:v>
      </x:c>
      <x:c r="E112" t="str">
        <x:v>Pangil</x:v>
      </x:c>
      <x:c r="F112" s="14" t="n">
        <x:f>'Commodity Benchmark'!E112</x:f>
        <x:v>0.006673859468441977</x:v>
      </x:c>
      <x:c r="G112" s="14" t="n">
        <x:f>'Commodity Benchmark'!G112</x:f>
        <x:v>0.02377661056444618</x:v>
      </x:c>
      <x:c r="H112" s="18" t="n">
        <x:f>'Provincial Inputs'!D5</x:f>
        <x:v>0</x:v>
      </x:c>
      <x:c r="I112" s="18" t="n">
        <x:f>'Provincial Inputs'!E5</x:f>
        <x:v>6188.95</x:v>
      </x:c>
      <x:c r="J112" s="18" t="str">
        <x:f>IF(H112="","",H112*F112)</x:f>
      </x:c>
      <x:c r="K112" s="18" t="n">
        <x:f>IF(I112="","",I112*G112)</x:f>
        <x:v>147.1522539528292</x:v>
      </x:c>
      <x:c r="L112" s="18" t="str">
        <x:f>IF(OR(J112="",K112=""),"",J112-K112)</x:f>
      </x:c>
      <x:c r="M112" s="18" t="n">
        <x:f>IFERROR(J112/K112,"")</x:f>
        <x:v>0</x:v>
      </x:c>
      <x:c r="N112" s="16" t="n">
        <x:f>'Commodity Benchmark'!J112</x:f>
        <x:v>37.06896551827586</x:v>
      </x:c>
      <x:c r="O112" t="str">
        <x:f>'Commodity Benchmark'!K112</x:f>
        <x:v>OVERSUPPLY_LEANING</x:v>
      </x:c>
    </x:row>
    <x:row r="113">
      <x:c r="A113" t="str">
        <x:v>Banana</x:v>
      </x:c>
      <x:c r="B113" t="n">
        <x:v>2026</x:v>
      </x:c>
      <x:c r="C113" t="str">
        <x:v>Q3</x:v>
      </x:c>
      <x:c r="D113" t="str">
        <x:v>0403422</x:v>
      </x:c>
      <x:c r="E113" t="str">
        <x:v>Pila</x:v>
      </x:c>
      <x:c r="F113" s="14" t="n">
        <x:f>'Commodity Benchmark'!E113</x:f>
        <x:v>0.015159501832278247</x:v>
      </x:c>
      <x:c r="G113" s="14" t="n">
        <x:f>'Commodity Benchmark'!G113</x:f>
        <x:v>0.018751628676592573</x:v>
      </x:c>
      <x:c r="H113" s="18" t="n">
        <x:f>'Provincial Inputs'!D5</x:f>
        <x:v>0</x:v>
      </x:c>
      <x:c r="I113" s="18" t="n">
        <x:f>'Provincial Inputs'!E5</x:f>
        <x:v>6188.95</x:v>
      </x:c>
      <x:c r="J113" s="18" t="str">
        <x:f>IF(H113="","",H113*F113)</x:f>
      </x:c>
      <x:c r="K113" s="18" t="n">
        <x:f>IF(I113="","",I113*G113)</x:f>
        <x:v>116.0528922979976</x:v>
      </x:c>
      <x:c r="L113" s="18" t="str">
        <x:f>IF(OR(J113="",K113=""),"",J113-K113)</x:f>
      </x:c>
      <x:c r="M113" s="18" t="n">
        <x:f>IFERROR(J113/K113,"")</x:f>
        <x:v>0</x:v>
      </x:c>
      <x:c r="N113" s="16" t="n">
        <x:f>'Commodity Benchmark'!J113</x:f>
        <x:v>63.50574712655173</x:v>
      </x:c>
      <x:c r="O113" t="str">
        <x:f>'Commodity Benchmark'!K113</x:f>
        <x:v>UNDERSUPPLY_LEANING</x:v>
      </x:c>
    </x:row>
    <x:row r="114">
      <x:c r="A114" t="str">
        <x:v>Banana</x:v>
      </x:c>
      <x:c r="B114" t="n">
        <x:v>2026</x:v>
      </x:c>
      <x:c r="C114" t="str">
        <x:v>Q3</x:v>
      </x:c>
      <x:c r="D114" t="str">
        <x:v>0403423</x:v>
      </x:c>
      <x:c r="E114" t="str">
        <x:v>Rizal</x:v>
      </x:c>
      <x:c r="F114" s="14" t="n">
        <x:f>'Commodity Benchmark'!E114</x:f>
        <x:v>0.0047565134097373426</x:v>
      </x:c>
      <x:c r="G114" s="14" t="n">
        <x:f>'Commodity Benchmark'!G114</x:f>
        <x:v>0.01979954091637927</x:v>
      </x:c>
      <x:c r="H114" s="18" t="n">
        <x:f>'Provincial Inputs'!D5</x:f>
        <x:v>0</x:v>
      </x:c>
      <x:c r="I114" s="18" t="n">
        <x:f>'Provincial Inputs'!E5</x:f>
        <x:v>6188.95</x:v>
      </x:c>
      <x:c r="J114" s="18" t="str">
        <x:f>IF(H114="","",H114*F114)</x:f>
      </x:c>
      <x:c r="K114" s="18" t="n">
        <x:f>IF(I114="","",I114*G114)</x:f>
        <x:v>122.53836875442548</x:v>
      </x:c>
      <x:c r="L114" s="18" t="str">
        <x:f>IF(OR(J114="",K114=""),"",J114-K114)</x:f>
      </x:c>
      <x:c r="M114" s="18" t="n">
        <x:f>IFERROR(J114/K114,"")</x:f>
        <x:v>0</x:v>
      </x:c>
      <x:c r="N114" s="16" t="n">
        <x:f>'Commodity Benchmark'!J114</x:f>
        <x:v>27.873563220344828</x:v>
      </x:c>
      <x:c r="O114" t="str">
        <x:f>'Commodity Benchmark'!K114</x:f>
        <x:v>OVERSUPPLY_LEANING</x:v>
      </x:c>
    </x:row>
    <x:row r="115">
      <x:c r="A115" t="str">
        <x:v>Banana</x:v>
      </x:c>
      <x:c r="B115" t="n">
        <x:v>2026</x:v>
      </x:c>
      <x:c r="C115" t="str">
        <x:v>Q3</x:v>
      </x:c>
      <x:c r="D115" t="str">
        <x:v>0403424</x:v>
      </x:c>
      <x:c r="E115" t="str">
        <x:v>San Pablo</x:v>
      </x:c>
      <x:c r="F115" s="14" t="n">
        <x:f>'Commodity Benchmark'!E115</x:f>
        <x:v>0.08012899906025256</x:v>
      </x:c>
      <x:c r="G115" s="14" t="n">
        <x:f>'Commodity Benchmark'!G115</x:f>
        <x:v>0.07751576222406158</x:v>
      </x:c>
      <x:c r="H115" s="18" t="n">
        <x:f>'Provincial Inputs'!D5</x:f>
        <x:v>0</x:v>
      </x:c>
      <x:c r="I115" s="18" t="n">
        <x:f>'Provincial Inputs'!E5</x:f>
        <x:v>6188.95</x:v>
      </x:c>
      <x:c r="J115" s="18" t="str">
        <x:f>IF(H115="","",H115*F115)</x:f>
      </x:c>
      <x:c r="K115" s="18" t="n">
        <x:f>IF(I115="","",I115*G115)</x:f>
        <x:v>479.74117661660586</x:v>
      </x:c>
      <x:c r="L115" s="18" t="str">
        <x:f>IF(OR(J115="",K115=""),"",J115-K115)</x:f>
      </x:c>
      <x:c r="M115" s="18" t="n">
        <x:f>IFERROR(J115/K115,"")</x:f>
        <x:v>0</x:v>
      </x:c>
      <x:c r="N115" s="16" t="n">
        <x:f>'Commodity Benchmark'!J115</x:f>
        <x:v>52.58620689413793</x:v>
      </x:c>
      <x:c r="O115" t="str">
        <x:f>'Commodity Benchmark'!K115</x:f>
        <x:v>BALANCED</x:v>
      </x:c>
    </x:row>
    <x:row r="116">
      <x:c r="A116" t="str">
        <x:v>Banana</x:v>
      </x:c>
      <x:c r="B116" t="n">
        <x:v>2026</x:v>
      </x:c>
      <x:c r="C116" t="str">
        <x:v>Q3</x:v>
      </x:c>
      <x:c r="D116" t="str">
        <x:v>0403425</x:v>
      </x:c>
      <x:c r="E116" t="str">
        <x:v>San Pedro</x:v>
      </x:c>
      <x:c r="F116" s="14" t="n">
        <x:f>'Commodity Benchmark'!E116</x:f>
        <x:v>0.09592749434916523</x:v>
      </x:c>
      <x:c r="G116" s="14" t="n">
        <x:f>'Commodity Benchmark'!G116</x:f>
        <x:v>0.007173629433026646</x:v>
      </x:c>
      <x:c r="H116" s="18" t="n">
        <x:f>'Provincial Inputs'!D5</x:f>
        <x:v>0</x:v>
      </x:c>
      <x:c r="I116" s="18" t="n">
        <x:f>'Provincial Inputs'!E5</x:f>
        <x:v>6188.95</x:v>
      </x:c>
      <x:c r="J116" s="18" t="str">
        <x:f>IF(H116="","",H116*F116)</x:f>
      </x:c>
      <x:c r="K116" s="18" t="n">
        <x:f>IF(I116="","",I116*G116)</x:f>
        <x:v>44.397233879530255</x:v>
      </x:c>
      <x:c r="L116" s="18" t="str">
        <x:f>IF(OR(J116="",K116=""),"",J116-K116)</x:f>
      </x:c>
      <x:c r="M116" s="18" t="n">
        <x:f>IFERROR(J116/K116,"")</x:f>
        <x:v>0</x:v>
      </x:c>
      <x:c r="N116" s="16" t="n">
        <x:f>'Commodity Benchmark'!J116</x:f>
        <x:v>91.95402298896552</x:v>
      </x:c>
      <x:c r="O116" t="str">
        <x:f>'Commodity Benchmark'!K116</x:f>
        <x:v>HIGH_OPPORTUNITY</x:v>
      </x:c>
    </x:row>
    <x:row r="117">
      <x:c r="A117" t="str">
        <x:v>Banana</x:v>
      </x:c>
      <x:c r="B117" t="n">
        <x:v>2026</x:v>
      </x:c>
      <x:c r="C117" t="str">
        <x:v>Q3</x:v>
      </x:c>
      <x:c r="D117" t="str">
        <x:v>0403426</x:v>
      </x:c>
      <x:c r="E117" t="str">
        <x:v>Santa Cruz</x:v>
      </x:c>
      <x:c r="F117" s="14" t="n">
        <x:f>'Commodity Benchmark'!E117</x:f>
        <x:v>0.03427145653978878</x:v>
      </x:c>
      <x:c r="G117" s="14" t="n">
        <x:f>'Commodity Benchmark'!G117</x:f>
        <x:v>0.01226921261400954</x:v>
      </x:c>
      <x:c r="H117" s="18" t="n">
        <x:f>'Provincial Inputs'!D5</x:f>
        <x:v>0</x:v>
      </x:c>
      <x:c r="I117" s="18" t="n">
        <x:f>'Provincial Inputs'!E5</x:f>
        <x:v>6188.95</x:v>
      </x:c>
      <x:c r="J117" s="18" t="str">
        <x:f>IF(H117="","",H117*F117)</x:f>
      </x:c>
      <x:c r="K117" s="18" t="n">
        <x:f>IF(I117="","",I117*G117)</x:f>
        <x:v>75.93354340747433</x:v>
      </x:c>
      <x:c r="L117" s="18" t="str">
        <x:f>IF(OR(J117="",K117=""),"",J117-K117)</x:f>
      </x:c>
      <x:c r="M117" s="18" t="n">
        <x:f>IFERROR(J117/K117,"")</x:f>
        <x:v>0</x:v>
      </x:c>
      <x:c r="N117" s="16" t="n">
        <x:f>'Commodity Benchmark'!J117</x:f>
        <x:v>77.87356321827588</x:v>
      </x:c>
      <x:c r="O117" t="str">
        <x:f>'Commodity Benchmark'!K117</x:f>
        <x:v>HIGH_OPPORTUNITY</x:v>
      </x:c>
    </x:row>
    <x:row r="118">
      <x:c r="A118" t="str">
        <x:v>Banana</x:v>
      </x:c>
      <x:c r="B118" t="n">
        <x:v>2026</x:v>
      </x:c>
      <x:c r="C118" t="str">
        <x:v>Q3</x:v>
      </x:c>
      <x:c r="D118" t="str">
        <x:v>0403427</x:v>
      </x:c>
      <x:c r="E118" t="str">
        <x:v>Santa Maria</x:v>
      </x:c>
      <x:c r="F118" s="14" t="n">
        <x:f>'Commodity Benchmark'!E118</x:f>
        <x:v>0.008491184411097202</x:v>
      </x:c>
      <x:c r="G118" s="14" t="n">
        <x:f>'Commodity Benchmark'!G118</x:f>
        <x:v>0.0811070456319727</x:v>
      </x:c>
      <x:c r="H118" s="18" t="n">
        <x:f>'Provincial Inputs'!D5</x:f>
        <x:v>0</x:v>
      </x:c>
      <x:c r="I118" s="18" t="n">
        <x:f>'Provincial Inputs'!E5</x:f>
        <x:v>6188.95</x:v>
      </x:c>
      <x:c r="J118" s="18" t="str">
        <x:f>IF(H118="","",H118*F118)</x:f>
      </x:c>
      <x:c r="K118" s="18" t="n">
        <x:f>IF(I118="","",I118*G118)</x:f>
        <x:v>501.96745006399743</x:v>
      </x:c>
      <x:c r="L118" s="18" t="str">
        <x:f>IF(OR(J118="",K118=""),"",J118-K118)</x:f>
      </x:c>
      <x:c r="M118" s="18" t="n">
        <x:f>IFERROR(J118/K118,"")</x:f>
        <x:v>0</x:v>
      </x:c>
      <x:c r="N118" s="16" t="n">
        <x:f>'Commodity Benchmark'!J118</x:f>
        <x:v>25.574712642413793</x:v>
      </x:c>
      <x:c r="O118" t="str">
        <x:f>'Commodity Benchmark'!K118</x:f>
        <x:v>OVERSUPPLY_LEANING</x:v>
      </x:c>
    </x:row>
    <x:row r="119">
      <x:c r="A119" t="str">
        <x:v>Banana</x:v>
      </x:c>
      <x:c r="B119" t="n">
        <x:v>2026</x:v>
      </x:c>
      <x:c r="C119" t="str">
        <x:v>Q3</x:v>
      </x:c>
      <x:c r="D119" t="str">
        <x:v>0403428</x:v>
      </x:c>
      <x:c r="E119" t="str">
        <x:v>Santa Rosa</x:v>
      </x:c>
      <x:c r="F119" s="14" t="n">
        <x:f>'Commodity Benchmark'!E119</x:f>
        <x:v>0.11921820116219989</x:v>
      </x:c>
      <x:c r="G119" s="14" t="n">
        <x:f>'Commodity Benchmark'!G119</x:f>
        <x:v>0.011199046734368378</x:v>
      </x:c>
      <x:c r="H119" s="18" t="n">
        <x:f>'Provincial Inputs'!D5</x:f>
        <x:v>0</x:v>
      </x:c>
      <x:c r="I119" s="18" t="n">
        <x:f>'Provincial Inputs'!E5</x:f>
        <x:v>6188.95</x:v>
      </x:c>
      <x:c r="J119" s="18" t="str">
        <x:f>IF(H119="","",H119*F119)</x:f>
      </x:c>
      <x:c r="K119" s="18" t="n">
        <x:f>IF(I119="","",I119*G119)</x:f>
        <x:v>69.31034028666917</x:v>
      </x:c>
      <x:c r="L119" s="18" t="str">
        <x:f>IF(OR(J119="",K119=""),"",J119-K119)</x:f>
      </x:c>
      <x:c r="M119" s="18" t="n">
        <x:f>IFERROR(J119/K119,"")</x:f>
        <x:v>0</x:v>
      </x:c>
      <x:c r="N119" s="16" t="n">
        <x:f>'Commodity Benchmark'!J119</x:f>
        <x:v>88.79310344793103</x:v>
      </x:c>
      <x:c r="O119" t="str">
        <x:f>'Commodity Benchmark'!K119</x:f>
        <x:v>HIGH_OPPORTUNITY</x:v>
      </x:c>
    </x:row>
    <x:row r="120">
      <x:c r="A120" t="str">
        <x:v>Banana</x:v>
      </x:c>
      <x:c r="B120" t="n">
        <x:v>2026</x:v>
      </x:c>
      <x:c r="C120" t="str">
        <x:v>Q3</x:v>
      </x:c>
      <x:c r="D120" t="str">
        <x:v>0403429</x:v>
      </x:c>
      <x:c r="E120" t="str">
        <x:v>Siniloan</x:v>
      </x:c>
      <x:c r="F120" s="14" t="n">
        <x:f>'Commodity Benchmark'!E120</x:f>
        <x:v>0.010923461441461441</x:v>
      </x:c>
      <x:c r="G120" s="14" t="n">
        <x:f>'Commodity Benchmark'!G120</x:f>
        <x:v>0.04089008497390114</x:v>
      </x:c>
      <x:c r="H120" s="18" t="n">
        <x:f>'Provincial Inputs'!D5</x:f>
        <x:v>0</x:v>
      </x:c>
      <x:c r="I120" s="18" t="n">
        <x:f>'Provincial Inputs'!E5</x:f>
        <x:v>6188.95</x:v>
      </x:c>
      <x:c r="J120" s="18" t="str">
        <x:f>IF(H120="","",H120*F120)</x:f>
      </x:c>
      <x:c r="K120" s="18" t="n">
        <x:f>IF(I120="","",I120*G120)</x:f>
        <x:v>253.06669139922545</x:v>
      </x:c>
      <x:c r="L120" s="18" t="str">
        <x:f>IF(OR(J120="",K120=""),"",J120-K120)</x:f>
      </x:c>
      <x:c r="M120" s="18" t="n">
        <x:f>IFERROR(J120/K120,"")</x:f>
        <x:v>0</x:v>
      </x:c>
      <x:c r="N120" s="16" t="n">
        <x:f>'Commodity Benchmark'!J120</x:f>
        <x:v>39.65517241310344</x:v>
      </x:c>
      <x:c r="O120" t="str">
        <x:f>'Commodity Benchmark'!K120</x:f>
        <x:v>OVERSUPPLY_LEANING</x:v>
      </x:c>
    </x:row>
    <x:row r="121">
      <x:c r="A121" t="str">
        <x:v>Banana</x:v>
      </x:c>
      <x:c r="B121" t="n">
        <x:v>2026</x:v>
      </x:c>
      <x:c r="C121" t="str">
        <x:v>Q3</x:v>
      </x:c>
      <x:c r="D121" t="str">
        <x:v>0403430</x:v>
      </x:c>
      <x:c r="E121" t="str">
        <x:v>Victoria</x:v>
      </x:c>
      <x:c r="F121" s="14" t="n">
        <x:f>'Commodity Benchmark'!E121</x:f>
        <x:v>0.012169202310186875</x:v>
      </x:c>
      <x:c r="G121" s="14" t="n">
        <x:f>'Commodity Benchmark'!G121</x:f>
        <x:v>0.009615961946681763</x:v>
      </x:c>
      <x:c r="H121" s="18" t="n">
        <x:f>'Provincial Inputs'!D5</x:f>
        <x:v>0</x:v>
      </x:c>
      <x:c r="I121" s="18" t="n">
        <x:f>'Provincial Inputs'!E5</x:f>
        <x:v>6188.95</x:v>
      </x:c>
      <x:c r="J121" s="18" t="str">
        <x:f>IF(H121="","",H121*F121)</x:f>
      </x:c>
      <x:c r="K121" s="18" t="n">
        <x:f>IF(I121="","",I121*G121)</x:f>
        <x:v>59.5127076899161</x:v>
      </x:c>
      <x:c r="L121" s="18" t="str">
        <x:f>IF(OR(J121="",K121=""),"",J121-K121)</x:f>
      </x:c>
      <x:c r="M121" s="18" t="n">
        <x:f>IFERROR(J121/K121,"")</x:f>
        <x:v>0</x:v>
      </x:c>
      <x:c r="N121" s="16" t="n">
        <x:f>'Commodity Benchmark'!J121</x:f>
        <x:v>69.5402298862069</x:v>
      </x:c>
      <x:c r="O121" t="str">
        <x:f>'Commodity Benchmark'!K121</x:f>
        <x:v>UNDERSUPPLY_LEANING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5" t="str">
        <x:v>commodity</x:v>
      </x:c>
      <x:c r="B1" s="5" t="str">
        <x:v>sum_demand_weight</x:v>
      </x:c>
      <x:c r="C1" s="5" t="str">
        <x:v>sum_supply_weight</x:v>
      </x:c>
      <x:c r="D1" s="5" t="str">
        <x:v>provincial_demand_input</x:v>
      </x:c>
      <x:c r="E1" s="5" t="str">
        <x:v>allocated_demand_sum</x:v>
      </x:c>
      <x:c r="F1" s="5" t="str">
        <x:v>demand_reconciliation_error</x:v>
      </x:c>
      <x:c r="G1" s="5" t="str">
        <x:v>provincial_supply_input</x:v>
      </x:c>
      <x:c r="H1" s="5" t="str">
        <x:v>allocated_supply_sum</x:v>
      </x:c>
      <x:c r="I1" s="5" t="str">
        <x:v>supply_reconciliation_error</x:v>
      </x:c>
    </x:row>
    <x:row r="2">
      <x:c r="A2" t="str">
        <x:v>Rice</x:v>
      </x:c>
      <x:c r="B2" s="20" t="n">
        <x:f>SUM('Commodity Benchmark'!E2:E31)</x:f>
        <x:v>1</x:v>
      </x:c>
      <x:c r="C2" s="20" t="n">
        <x:f>SUM('Commodity Benchmark'!G2:G31)</x:f>
        <x:v>0.9999999999999999</x:v>
      </x:c>
      <x:c r="D2" s="20" t="n">
        <x:f>'Provincial Inputs'!D2</x:f>
        <x:v>0</x:v>
      </x:c>
      <x:c r="E2" s="20" t="n">
        <x:f>SUM('Municipal Allocation'!J2:J31)</x:f>
        <x:v>0</x:v>
      </x:c>
      <x:c r="F2" s="20" t="str">
        <x:f>IF(D2="","",E2-D2)</x:f>
      </x:c>
      <x:c r="G2" s="20" t="n">
        <x:f>'Provincial Inputs'!E2</x:f>
        <x:v>0</x:v>
      </x:c>
      <x:c r="H2" s="20" t="n">
        <x:f>SUM('Municipal Allocation'!K2:K31)</x:f>
        <x:v>0</x:v>
      </x:c>
      <x:c r="I2" s="20" t="str">
        <x:f>IF(G2="","",H2-G2)</x:f>
      </x:c>
    </x:row>
    <x:row r="3">
      <x:c r="A3" t="str">
        <x:v>Tomato</x:v>
      </x:c>
      <x:c r="B3" s="20" t="n">
        <x:f>SUM('Commodity Benchmark'!E32:E61)</x:f>
        <x:v>1</x:v>
      </x:c>
      <x:c r="C3" s="20" t="n">
        <x:f>SUM('Commodity Benchmark'!G32:G61)</x:f>
        <x:v>0.9999999999999996</x:v>
      </x:c>
      <x:c r="D3" s="20" t="n">
        <x:f>'Provincial Inputs'!D3</x:f>
        <x:v>0</x:v>
      </x:c>
      <x:c r="E3" s="20" t="n">
        <x:f>SUM('Municipal Allocation'!J32:J61)</x:f>
        <x:v>0</x:v>
      </x:c>
      <x:c r="F3" s="20" t="str">
        <x:f>IF(D3="","",E3-D3)</x:f>
      </x:c>
      <x:c r="G3" s="20" t="n">
        <x:f>'Provincial Inputs'!E3</x:f>
        <x:v>797.77</x:v>
      </x:c>
      <x:c r="H3" s="20" t="n">
        <x:f>SUM('Municipal Allocation'!K32:K61)</x:f>
        <x:v>797.7700000000001</x:v>
      </x:c>
      <x:c r="I3" s="20" t="n">
        <x:f>IF(G3="","",H3-G3)</x:f>
        <x:v>1.1368683772161603e-13</x:v>
      </x:c>
    </x:row>
    <x:row r="4">
      <x:c r="A4" t="str">
        <x:v>Red Onion</x:v>
      </x:c>
      <x:c r="B4" s="20" t="n">
        <x:f>SUM('Commodity Benchmark'!E62:E91)</x:f>
        <x:v>1</x:v>
      </x:c>
      <x:c r="C4" s="20" t="n">
        <x:f>SUM('Commodity Benchmark'!G62:G91)</x:f>
        <x:v>1</x:v>
      </x:c>
      <x:c r="D4" s="20" t="n">
        <x:f>'Provincial Inputs'!D4</x:f>
        <x:v>0</x:v>
      </x:c>
      <x:c r="E4" s="20" t="n">
        <x:f>SUM('Municipal Allocation'!J62:J91)</x:f>
        <x:v>0</x:v>
      </x:c>
      <x:c r="F4" s="20" t="str">
        <x:f>IF(D4="","",E4-D4)</x:f>
      </x:c>
      <x:c r="G4" s="20" t="n">
        <x:f>'Provincial Inputs'!E4</x:f>
        <x:v>0</x:v>
      </x:c>
      <x:c r="H4" s="20" t="n">
        <x:f>SUM('Municipal Allocation'!K62:K91)</x:f>
        <x:v>0</x:v>
      </x:c>
      <x:c r="I4" s="20" t="str">
        <x:f>IF(G4="","",H4-G4)</x:f>
      </x:c>
    </x:row>
    <x:row r="5">
      <x:c r="A5" t="str">
        <x:v>Banana</x:v>
      </x:c>
      <x:c r="B5" s="20" t="n">
        <x:f>SUM('Commodity Benchmark'!E92:E121)</x:f>
        <x:v>1</x:v>
      </x:c>
      <x:c r="C5" s="20" t="n">
        <x:f>SUM('Commodity Benchmark'!G92:G121)</x:f>
        <x:v>0.9999999999999998</x:v>
      </x:c>
      <x:c r="D5" s="20" t="n">
        <x:f>'Provincial Inputs'!D5</x:f>
        <x:v>0</x:v>
      </x:c>
      <x:c r="E5" s="20" t="n">
        <x:f>SUM('Municipal Allocation'!J92:J121)</x:f>
        <x:v>0</x:v>
      </x:c>
      <x:c r="F5" s="20" t="str">
        <x:f>IF(D5="","",E5-D5)</x:f>
      </x:c>
      <x:c r="G5" s="20" t="n">
        <x:f>'Provincial Inputs'!E5</x:f>
        <x:v>6188.95</x:v>
      </x:c>
      <x:c r="H5" s="20" t="n">
        <x:f>SUM('Municipal Allocation'!K92:K121)</x:f>
        <x:v>6188.950000000001</x:v>
      </x:c>
      <x:c r="I5" s="20" t="n">
        <x:f>IF(G5="","",H5-G5)</x:f>
        <x:v>9.094947017729282e-13</x:v>
      </x:c>
    </x:row>
  </x:sheetData>
  <x:pageMargins left="0.7" right="0.7" top="0.75" bottom="0.75" header="0.3" footer="0.3"/>
</x:worksheet>
</file>